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stubask-my.sharepoint.com/personal/xteslenko_stuba_sk/Documents/Documents/"/>
    </mc:Choice>
  </mc:AlternateContent>
  <xr:revisionPtr revIDLastSave="143" documentId="14_{B4692975-DF73-448C-96AF-74ACFF36AF88}" xr6:coauthVersionLast="47" xr6:coauthVersionMax="47" xr10:uidLastSave="{941ABE00-8D39-4C47-9068-986EE42D9E28}"/>
  <bookViews>
    <workbookView xWindow="-108" yWindow="-108" windowWidth="23256" windowHeight="12456" tabRatio="677" activeTab="4" xr2:uid="{D52769E5-AD4D-4DA6-A417-AE6435606DDF}"/>
  </bookViews>
  <sheets>
    <sheet name="Študent" sheetId="7" r:id="rId1"/>
    <sheet name="kontingenčná tabuľka" sheetId="5" r:id="rId2"/>
    <sheet name="Demografia" sheetId="11" r:id="rId3"/>
    <sheet name="HDP" sheetId="12" r:id="rId4"/>
    <sheet name="Ceny bytov" sheetId="13" r:id="rId5"/>
  </sheets>
  <definedNames>
    <definedName name="_xlnm._FilterDatabase" localSheetId="1" hidden="1">'kontingenčná tabuľka'!$B$1:$B$21</definedName>
    <definedName name="_xleta.NA" hidden="1" xlm="1">#NAME?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2" i="5"/>
  <c r="M39" i="7"/>
  <c r="M38" i="7"/>
  <c r="L38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2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" i="7"/>
  <c r="K2" i="7"/>
  <c r="G17" i="7"/>
  <c r="G16" i="7"/>
  <c r="G15" i="7"/>
  <c r="G14" i="7"/>
  <c r="H13" i="7"/>
  <c r="G10" i="7" a="1"/>
  <c r="G10" i="7" s="1"/>
  <c r="G9" i="7"/>
  <c r="G8" i="7"/>
  <c r="G7" i="7"/>
  <c r="G6" i="7"/>
  <c r="G5" i="7"/>
  <c r="G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<sst xmlns="http://schemas.openxmlformats.org/spreadsheetml/2006/main" count="328" uniqueCount="144">
  <si>
    <t>dátum</t>
  </si>
  <si>
    <t>predavač</t>
  </si>
  <si>
    <t xml:space="preserve">tovar </t>
  </si>
  <si>
    <t>množstvo</t>
  </si>
  <si>
    <t>cena</t>
  </si>
  <si>
    <t>celkom</t>
  </si>
  <si>
    <t>Páleš</t>
  </si>
  <si>
    <t>Dobrá</t>
  </si>
  <si>
    <t>Lepeník</t>
  </si>
  <si>
    <t>Malá</t>
  </si>
  <si>
    <t>Havranová</t>
  </si>
  <si>
    <t>Komelár</t>
  </si>
  <si>
    <t>elektro</t>
  </si>
  <si>
    <t>nábytok</t>
  </si>
  <si>
    <t>sklo</t>
  </si>
  <si>
    <t>POHL</t>
  </si>
  <si>
    <t>VEK</t>
  </si>
  <si>
    <t>VYSKA</t>
  </si>
  <si>
    <t>HMOT</t>
  </si>
  <si>
    <t>BMI</t>
  </si>
  <si>
    <t>Z</t>
  </si>
  <si>
    <t>VÝŠKA</t>
  </si>
  <si>
    <t>M</t>
  </si>
  <si>
    <t>count</t>
  </si>
  <si>
    <t>počet skutočne napozorovaných hodnôt</t>
  </si>
  <si>
    <t>aver</t>
  </si>
  <si>
    <t>priemer hodnôt v súbore</t>
  </si>
  <si>
    <t>min</t>
  </si>
  <si>
    <t>minimálna hodnota</t>
  </si>
  <si>
    <t>max</t>
  </si>
  <si>
    <t>maximálna hodnota</t>
  </si>
  <si>
    <t>med</t>
  </si>
  <si>
    <t>medián</t>
  </si>
  <si>
    <t>mode</t>
  </si>
  <si>
    <t>modus-najčastejšia hodnota</t>
  </si>
  <si>
    <r>
      <t xml:space="preserve">Koľký najťažší v poradí je študent ktorý má </t>
    </r>
    <r>
      <rPr>
        <sz val="11"/>
        <color indexed="10"/>
        <rFont val="Calibri"/>
        <family val="2"/>
        <charset val="238"/>
      </rPr>
      <t>78kg</t>
    </r>
  </si>
  <si>
    <t>RANK</t>
  </si>
  <si>
    <t>Základný rozbor</t>
  </si>
  <si>
    <t>suma</t>
  </si>
  <si>
    <t>(x-xp)2</t>
  </si>
  <si>
    <t>/n</t>
  </si>
  <si>
    <t>skew</t>
  </si>
  <si>
    <t>kurt</t>
  </si>
  <si>
    <t>var</t>
  </si>
  <si>
    <t>VARP</t>
  </si>
  <si>
    <t>x-xpriemerné</t>
  </si>
  <si>
    <t>stand .dev</t>
  </si>
  <si>
    <t>Stiahnite zo stránky štatistického úradu demografické údaje o počte narodených v Bratislavskom kraji od 1995 do 2020 a zobrazte na grafe</t>
  </si>
  <si>
    <t>Stiahnite zo stránky štatistického úradu údaje o vývoji HDP v SR v štrťročnom časovom sledovaní.</t>
  </si>
  <si>
    <t>Stiahnite údaje o cenách bytov v SR a ceny za Košický kraj.</t>
  </si>
  <si>
    <t>mult.mode</t>
  </si>
  <si>
    <t>Sum of celkom</t>
  </si>
  <si>
    <t>Grand Total</t>
  </si>
  <si>
    <t>rok</t>
  </si>
  <si>
    <t>Narodeni v Bratislavský kraj</t>
  </si>
  <si>
    <t>HDP</t>
  </si>
  <si>
    <t>1.Q.</t>
  </si>
  <si>
    <t>2.Q.</t>
  </si>
  <si>
    <t>3.Q.</t>
  </si>
  <si>
    <t>4.Q.</t>
  </si>
  <si>
    <t>stvrtrok</t>
  </si>
  <si>
    <t>Ceny nehnuteľností na bývanie podľa krajov v €/m2</t>
  </si>
  <si>
    <t>Rok, Štvrťrok</t>
  </si>
  <si>
    <t>4Q 2024</t>
  </si>
  <si>
    <t>3Q 2024</t>
  </si>
  <si>
    <t>2Q 2024</t>
  </si>
  <si>
    <t>1Q 2024</t>
  </si>
  <si>
    <t>4Q 2023</t>
  </si>
  <si>
    <t>3Q 2023</t>
  </si>
  <si>
    <t>2Q 2023</t>
  </si>
  <si>
    <t>1Q 2023</t>
  </si>
  <si>
    <t>4Q 2022</t>
  </si>
  <si>
    <t>3Q 2022</t>
  </si>
  <si>
    <t>2Q 2022</t>
  </si>
  <si>
    <t>1Q 2022</t>
  </si>
  <si>
    <t>4Q 2021</t>
  </si>
  <si>
    <t>3Q 2021</t>
  </si>
  <si>
    <t>2Q 2021</t>
  </si>
  <si>
    <t>1Q 2021</t>
  </si>
  <si>
    <t>4Q 2020</t>
  </si>
  <si>
    <t>3Q 2020</t>
  </si>
  <si>
    <t>2Q 2020</t>
  </si>
  <si>
    <t>1Q 2020</t>
  </si>
  <si>
    <t>4Q 2019</t>
  </si>
  <si>
    <t>3Q 2019</t>
  </si>
  <si>
    <t>2Q 2019</t>
  </si>
  <si>
    <t>1Q 2019</t>
  </si>
  <si>
    <t>4Q 2018</t>
  </si>
  <si>
    <t>3Q 2018</t>
  </si>
  <si>
    <t>2Q 2018</t>
  </si>
  <si>
    <t>1Q 2018</t>
  </si>
  <si>
    <t>4Q 2017</t>
  </si>
  <si>
    <t>3Q 2017</t>
  </si>
  <si>
    <t>2Q 2017</t>
  </si>
  <si>
    <t>1Q 2017</t>
  </si>
  <si>
    <t>4Q 2016</t>
  </si>
  <si>
    <t>3Q 2016</t>
  </si>
  <si>
    <t>2Q 2016</t>
  </si>
  <si>
    <t>1Q 2016</t>
  </si>
  <si>
    <t>4Q 2015</t>
  </si>
  <si>
    <t>3Q 2015</t>
  </si>
  <si>
    <t>2Q 2015</t>
  </si>
  <si>
    <t>1Q 2015</t>
  </si>
  <si>
    <t>4Q 2014</t>
  </si>
  <si>
    <t>3Q 2014</t>
  </si>
  <si>
    <t>2Q 2014</t>
  </si>
  <si>
    <t>1Q 2014</t>
  </si>
  <si>
    <t>4Q 2013</t>
  </si>
  <si>
    <t>3Q 2013</t>
  </si>
  <si>
    <t>2Q 2013</t>
  </si>
  <si>
    <t>1Q 2013</t>
  </si>
  <si>
    <t>4Q 2012</t>
  </si>
  <si>
    <t>3Q 2012</t>
  </si>
  <si>
    <t>2Q 2012</t>
  </si>
  <si>
    <t>1Q 2012</t>
  </si>
  <si>
    <t>4Q 2011</t>
  </si>
  <si>
    <t>3Q 2011</t>
  </si>
  <si>
    <t>2Q 2011</t>
  </si>
  <si>
    <t>1Q 2011</t>
  </si>
  <si>
    <t>4Q 2010</t>
  </si>
  <si>
    <t>3Q 2010</t>
  </si>
  <si>
    <t>2Q 2010</t>
  </si>
  <si>
    <t>1Q 2010</t>
  </si>
  <si>
    <t>4Q 2009</t>
  </si>
  <si>
    <t>3Q 2009</t>
  </si>
  <si>
    <t>2Q 2009</t>
  </si>
  <si>
    <t>1Q 2009</t>
  </si>
  <si>
    <t>4Q 2008</t>
  </si>
  <si>
    <t>3Q 2008</t>
  </si>
  <si>
    <t>2Q 2008</t>
  </si>
  <si>
    <t>1Q 2008</t>
  </si>
  <si>
    <t>4Q 2007</t>
  </si>
  <si>
    <t>3Q 2007</t>
  </si>
  <si>
    <t>2Q 2007</t>
  </si>
  <si>
    <t>1Q 2007</t>
  </si>
  <si>
    <t>4Q 2006</t>
  </si>
  <si>
    <t>3Q 2006</t>
  </si>
  <si>
    <t>2Q 2006</t>
  </si>
  <si>
    <t>1Q 2006</t>
  </si>
  <si>
    <t>4Q 2005</t>
  </si>
  <si>
    <t>3Q 2005</t>
  </si>
  <si>
    <t>2Q 2005</t>
  </si>
  <si>
    <t>1Q 2005</t>
  </si>
  <si>
    <t>Kosicky kraj,cena byvania v €/m2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</si>
</sst>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38"/>
      <scheme val="minor"/>
    </font>
    <font>
      <sz val="11"/>
      <color indexed="10"/>
      <name val="Calibri"/>
      <family val="2"/>
      <charset val="238"/>
    </font>
    <font>
      <b/>
      <sz val="10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11"/>
      <name val="Calibri"/>
      <family val="2"/>
    </font>
    <font>
      <sz val="8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9" xfId="0" applyNumberFormat="1" applyBorder="1"/>
    <xf numFmtId="14" fontId="0" fillId="0" borderId="10" xfId="0" applyNumberFormat="1" applyBorder="1"/>
    <xf numFmtId="0" fontId="0" fillId="0" borderId="0" xfId="0" applyAlignment="1">
      <alignment horizontal="left"/>
    </xf>
    <xf numFmtId="0" fontId="2" fillId="0" borderId="0" xfId="0" applyFont="1"/>
    <xf numFmtId="0" fontId="0" fillId="2" borderId="4" xfId="0" applyFill="1" applyBorder="1"/>
    <xf numFmtId="0" fontId="0" fillId="3" borderId="4" xfId="0" applyFill="1" applyBorder="1"/>
    <xf numFmtId="0" fontId="0" fillId="3" borderId="11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13" xfId="0" applyFill="1" applyBorder="1"/>
    <xf numFmtId="0" fontId="0" fillId="4" borderId="0" xfId="0" applyFill="1"/>
    <xf numFmtId="0" fontId="0" fillId="3" borderId="0" xfId="0" applyFill="1"/>
    <xf numFmtId="0" fontId="0" fillId="3" borderId="14" xfId="0" applyFill="1" applyBorder="1"/>
    <xf numFmtId="0" fontId="0" fillId="3" borderId="8" xfId="0" applyFill="1" applyBorder="1"/>
    <xf numFmtId="0" fontId="0" fillId="0" borderId="15" xfId="0" applyBorder="1" applyAlignment="1">
      <alignment horizontal="left"/>
    </xf>
    <xf numFmtId="0" fontId="0" fillId="0" borderId="16" xfId="0" applyBorder="1"/>
    <xf numFmtId="0" fontId="0" fillId="4" borderId="1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2" fontId="0" fillId="0" borderId="19" xfId="0" applyNumberFormat="1" applyBorder="1"/>
    <xf numFmtId="0" fontId="0" fillId="0" borderId="20" xfId="0" applyBorder="1" applyAlignment="1">
      <alignment horizontal="left"/>
    </xf>
    <xf numFmtId="0" fontId="0" fillId="0" borderId="21" xfId="0" applyBorder="1"/>
    <xf numFmtId="0" fontId="0" fillId="4" borderId="21" xfId="0" applyFill="1" applyBorder="1"/>
    <xf numFmtId="2" fontId="0" fillId="0" borderId="22" xfId="0" applyNumberFormat="1" applyBorder="1"/>
    <xf numFmtId="0" fontId="0" fillId="5" borderId="12" xfId="0" applyFill="1" applyBorder="1"/>
    <xf numFmtId="0" fontId="0" fillId="3" borderId="23" xfId="0" applyFill="1" applyBorder="1"/>
    <xf numFmtId="0" fontId="0" fillId="6" borderId="0" xfId="0" applyFill="1"/>
    <xf numFmtId="0" fontId="0" fillId="6" borderId="12" xfId="0" applyFill="1" applyBorder="1"/>
    <xf numFmtId="2" fontId="0" fillId="0" borderId="0" xfId="0" applyNumberFormat="1"/>
    <xf numFmtId="0" fontId="0" fillId="6" borderId="24" xfId="0" applyFill="1" applyBorder="1"/>
    <xf numFmtId="0" fontId="5" fillId="0" borderId="0" xfId="0" applyFont="1"/>
    <xf numFmtId="0" fontId="0" fillId="0" borderId="0" xfId="0" applyAlignment="1">
      <alignment horizontal="right"/>
    </xf>
    <xf numFmtId="1" fontId="0" fillId="0" borderId="0" xfId="0" applyNumberFormat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6" borderId="29" xfId="0" applyFill="1" applyBorder="1"/>
    <xf numFmtId="0" fontId="0" fillId="6" borderId="11" xfId="0" applyFill="1" applyBorder="1"/>
    <xf numFmtId="0" fontId="4" fillId="0" borderId="0" xfId="0" applyFont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0" xfId="0" pivotButton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6" fillId="0" borderId="0" xfId="0" applyFont="1"/>
    <xf numFmtId="0" fontId="6" fillId="0" borderId="0" xfId="0" applyNumberFormat="1" applyFont="1"/>
    <xf numFmtId="2" fontId="6" fillId="0" borderId="0" xfId="0" applyNumberFormat="1" applyFont="1"/>
    <xf numFmtId="0" fontId="5" fillId="0" borderId="0" xfId="0" applyFont="1" applyAlignment="1"/>
    <xf numFmtId="0" fontId="0" fillId="0" borderId="0" xfId="0" applyAlignment="1"/>
    <xf numFmtId="4" fontId="0" fillId="6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Demografia!$D$6</c:f>
              <c:strCache>
                <c:ptCount val="1"/>
                <c:pt idx="0">
                  <c:v>Narodeni v Bratislavský kraj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Demografia!$C$7:$C$31</c:f>
              <c:numCache>
                <c:formatCode>General</c:formatCode>
                <c:ptCount val="25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  <c:pt idx="3">
                  <c:v>1999</c:v>
                </c:pt>
                <c:pt idx="4">
                  <c:v>2000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  <c:pt idx="11">
                  <c:v>2007</c:v>
                </c:pt>
                <c:pt idx="12">
                  <c:v>2008</c:v>
                </c:pt>
                <c:pt idx="13">
                  <c:v>2009</c:v>
                </c:pt>
                <c:pt idx="14">
                  <c:v>2010</c:v>
                </c:pt>
                <c:pt idx="15">
                  <c:v>2011</c:v>
                </c:pt>
                <c:pt idx="16">
                  <c:v>2012</c:v>
                </c:pt>
                <c:pt idx="17">
                  <c:v>2013</c:v>
                </c:pt>
                <c:pt idx="18">
                  <c:v>2014</c:v>
                </c:pt>
                <c:pt idx="19">
                  <c:v>2015</c:v>
                </c:pt>
                <c:pt idx="20">
                  <c:v>2016</c:v>
                </c:pt>
                <c:pt idx="21">
                  <c:v>2017</c:v>
                </c:pt>
                <c:pt idx="22">
                  <c:v>2018</c:v>
                </c:pt>
                <c:pt idx="23">
                  <c:v>2019</c:v>
                </c:pt>
                <c:pt idx="24">
                  <c:v>2020</c:v>
                </c:pt>
              </c:numCache>
            </c:numRef>
          </c:cat>
          <c:val>
            <c:numRef>
              <c:f>Demografia!$D$7:$D$31</c:f>
              <c:numCache>
                <c:formatCode>General</c:formatCode>
                <c:ptCount val="25"/>
                <c:pt idx="0">
                  <c:v>5096</c:v>
                </c:pt>
                <c:pt idx="1">
                  <c:v>5044</c:v>
                </c:pt>
                <c:pt idx="2">
                  <c:v>4923</c:v>
                </c:pt>
                <c:pt idx="3">
                  <c:v>4746</c:v>
                </c:pt>
                <c:pt idx="4">
                  <c:v>4911</c:v>
                </c:pt>
                <c:pt idx="5">
                  <c:v>4628</c:v>
                </c:pt>
                <c:pt idx="6">
                  <c:v>4575</c:v>
                </c:pt>
                <c:pt idx="7">
                  <c:v>5121</c:v>
                </c:pt>
                <c:pt idx="8">
                  <c:v>5460</c:v>
                </c:pt>
                <c:pt idx="9">
                  <c:v>5888</c:v>
                </c:pt>
                <c:pt idx="10">
                  <c:v>5932</c:v>
                </c:pt>
                <c:pt idx="11">
                  <c:v>6342</c:v>
                </c:pt>
                <c:pt idx="12">
                  <c:v>6864</c:v>
                </c:pt>
                <c:pt idx="13">
                  <c:v>7442</c:v>
                </c:pt>
                <c:pt idx="14">
                  <c:v>7576</c:v>
                </c:pt>
                <c:pt idx="15">
                  <c:v>7804</c:v>
                </c:pt>
                <c:pt idx="16">
                  <c:v>7536</c:v>
                </c:pt>
                <c:pt idx="17">
                  <c:v>7387</c:v>
                </c:pt>
                <c:pt idx="18">
                  <c:v>7773</c:v>
                </c:pt>
                <c:pt idx="19">
                  <c:v>7918</c:v>
                </c:pt>
                <c:pt idx="20">
                  <c:v>8246</c:v>
                </c:pt>
                <c:pt idx="21">
                  <c:v>8449</c:v>
                </c:pt>
                <c:pt idx="22">
                  <c:v>8589</c:v>
                </c:pt>
                <c:pt idx="23">
                  <c:v>8195</c:v>
                </c:pt>
                <c:pt idx="24">
                  <c:v>8310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E4-4FB9-9BD3-1E933FC63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62639"/>
        <c:axId val="660864079"/>
      </c:lineChart>
      <c:catAx>
        <c:axId val="660862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60864079"/>
        <c:crosses val="autoZero"/>
        <c:auto val="1"/>
        <c:lblAlgn val="ctr"/>
        <c:lblOffset val="100"/>
        <c:noMultiLvlLbl val="0"/>
      </c:catAx>
      <c:valAx>
        <c:axId val="66086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6086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HDP!$C$3</c:f>
              <c:strCache>
                <c:ptCount val="1"/>
                <c:pt idx="0">
                  <c:v>HDP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HDP!$C$4:$C$123</c:f>
              <c:numCache>
                <c:formatCode>0.00</c:formatCode>
                <c:ptCount val="120"/>
                <c:pt idx="0">
                  <c:v>4439.3</c:v>
                </c:pt>
                <c:pt idx="1">
                  <c:v>4739.3999999999996</c:v>
                </c:pt>
                <c:pt idx="2">
                  <c:v>4552.8</c:v>
                </c:pt>
                <c:pt idx="3">
                  <c:v>4517.6000000000004</c:v>
                </c:pt>
                <c:pt idx="4">
                  <c:v>5127.3999999999996</c:v>
                </c:pt>
                <c:pt idx="5">
                  <c:v>5368.5</c:v>
                </c:pt>
                <c:pt idx="6">
                  <c:v>5478.8</c:v>
                </c:pt>
                <c:pt idx="7">
                  <c:v>5278.6</c:v>
                </c:pt>
                <c:pt idx="8">
                  <c:v>5674.3</c:v>
                </c:pt>
                <c:pt idx="9">
                  <c:v>6028.5</c:v>
                </c:pt>
                <c:pt idx="10">
                  <c:v>6161.3</c:v>
                </c:pt>
                <c:pt idx="11">
                  <c:v>5604.4</c:v>
                </c:pt>
                <c:pt idx="12">
                  <c:v>6163.1</c:v>
                </c:pt>
                <c:pt idx="13">
                  <c:v>6520.6</c:v>
                </c:pt>
                <c:pt idx="14">
                  <c:v>6364.9</c:v>
                </c:pt>
                <c:pt idx="15">
                  <c:v>6470.2</c:v>
                </c:pt>
                <c:pt idx="16">
                  <c:v>6545.6</c:v>
                </c:pt>
                <c:pt idx="17">
                  <c:v>6928.8</c:v>
                </c:pt>
                <c:pt idx="18">
                  <c:v>6776.1</c:v>
                </c:pt>
                <c:pt idx="19">
                  <c:v>6418.3</c:v>
                </c:pt>
                <c:pt idx="20">
                  <c:v>6798.1</c:v>
                </c:pt>
                <c:pt idx="21">
                  <c:v>7466.5</c:v>
                </c:pt>
                <c:pt idx="22">
                  <c:v>7354.1</c:v>
                </c:pt>
                <c:pt idx="23">
                  <c:v>7221.4</c:v>
                </c:pt>
                <c:pt idx="24">
                  <c:v>7539.9</c:v>
                </c:pt>
                <c:pt idx="25">
                  <c:v>8299</c:v>
                </c:pt>
                <c:pt idx="26">
                  <c:v>8246.7999999999993</c:v>
                </c:pt>
                <c:pt idx="27">
                  <c:v>8471.6</c:v>
                </c:pt>
                <c:pt idx="28">
                  <c:v>8238.1</c:v>
                </c:pt>
                <c:pt idx="29">
                  <c:v>8952.5</c:v>
                </c:pt>
                <c:pt idx="30">
                  <c:v>9365.4</c:v>
                </c:pt>
                <c:pt idx="31">
                  <c:v>9266.7999999999993</c:v>
                </c:pt>
                <c:pt idx="32">
                  <c:v>9043</c:v>
                </c:pt>
                <c:pt idx="33">
                  <c:v>9826.6</c:v>
                </c:pt>
                <c:pt idx="34">
                  <c:v>10096.799999999999</c:v>
                </c:pt>
                <c:pt idx="35">
                  <c:v>10116.1</c:v>
                </c:pt>
                <c:pt idx="36">
                  <c:v>9989.5</c:v>
                </c:pt>
                <c:pt idx="37">
                  <c:v>10683.5</c:v>
                </c:pt>
                <c:pt idx="38">
                  <c:v>11475.1</c:v>
                </c:pt>
                <c:pt idx="39">
                  <c:v>11284</c:v>
                </c:pt>
                <c:pt idx="40">
                  <c:v>11074</c:v>
                </c:pt>
                <c:pt idx="41">
                  <c:v>12296.1</c:v>
                </c:pt>
                <c:pt idx="42">
                  <c:v>13012.3</c:v>
                </c:pt>
                <c:pt idx="43">
                  <c:v>12597.1</c:v>
                </c:pt>
                <c:pt idx="44">
                  <c:v>12273</c:v>
                </c:pt>
                <c:pt idx="45">
                  <c:v>13744.5</c:v>
                </c:pt>
                <c:pt idx="46">
                  <c:v>14489</c:v>
                </c:pt>
                <c:pt idx="47">
                  <c:v>14256.8</c:v>
                </c:pt>
                <c:pt idx="48">
                  <c:v>13814.2</c:v>
                </c:pt>
                <c:pt idx="49">
                  <c:v>15407.8</c:v>
                </c:pt>
                <c:pt idx="50">
                  <c:v>16555.900000000001</c:v>
                </c:pt>
                <c:pt idx="51">
                  <c:v>16667.400000000001</c:v>
                </c:pt>
                <c:pt idx="52">
                  <c:v>15235.9</c:v>
                </c:pt>
                <c:pt idx="53">
                  <c:v>16572.7</c:v>
                </c:pt>
                <c:pt idx="54">
                  <c:v>17739.5</c:v>
                </c:pt>
                <c:pt idx="55">
                  <c:v>17021.2</c:v>
                </c:pt>
                <c:pt idx="56">
                  <c:v>14776</c:v>
                </c:pt>
                <c:pt idx="57">
                  <c:v>16030.3</c:v>
                </c:pt>
                <c:pt idx="58">
                  <c:v>17177</c:v>
                </c:pt>
                <c:pt idx="59">
                  <c:v>16799.099999999999</c:v>
                </c:pt>
                <c:pt idx="60">
                  <c:v>15718.1</c:v>
                </c:pt>
                <c:pt idx="61">
                  <c:v>16957.5</c:v>
                </c:pt>
                <c:pt idx="62">
                  <c:v>18092.7</c:v>
                </c:pt>
                <c:pt idx="63">
                  <c:v>17636.5</c:v>
                </c:pt>
                <c:pt idx="64">
                  <c:v>16180.2</c:v>
                </c:pt>
                <c:pt idx="65">
                  <c:v>17524</c:v>
                </c:pt>
                <c:pt idx="66">
                  <c:v>18547.7</c:v>
                </c:pt>
                <c:pt idx="67">
                  <c:v>18235.8</c:v>
                </c:pt>
                <c:pt idx="68">
                  <c:v>16844.2</c:v>
                </c:pt>
                <c:pt idx="69">
                  <c:v>18163</c:v>
                </c:pt>
                <c:pt idx="70">
                  <c:v>19165.400000000001</c:v>
                </c:pt>
                <c:pt idx="71">
                  <c:v>18580.900000000001</c:v>
                </c:pt>
                <c:pt idx="72">
                  <c:v>17118.2</c:v>
                </c:pt>
                <c:pt idx="73">
                  <c:v>18491.900000000001</c:v>
                </c:pt>
                <c:pt idx="74">
                  <c:v>19564.2</c:v>
                </c:pt>
                <c:pt idx="75">
                  <c:v>19071.900000000001</c:v>
                </c:pt>
                <c:pt idx="76">
                  <c:v>17658</c:v>
                </c:pt>
                <c:pt idx="77">
                  <c:v>19083.099999999999</c:v>
                </c:pt>
                <c:pt idx="78">
                  <c:v>20190.3</c:v>
                </c:pt>
                <c:pt idx="79">
                  <c:v>19732.5</c:v>
                </c:pt>
                <c:pt idx="80">
                  <c:v>18441.8</c:v>
                </c:pt>
                <c:pt idx="81">
                  <c:v>20011.2</c:v>
                </c:pt>
                <c:pt idx="82">
                  <c:v>21205.8</c:v>
                </c:pt>
                <c:pt idx="83">
                  <c:v>20867.099999999999</c:v>
                </c:pt>
                <c:pt idx="84">
                  <c:v>18895.5</c:v>
                </c:pt>
                <c:pt idx="85">
                  <c:v>20469.8</c:v>
                </c:pt>
                <c:pt idx="86">
                  <c:v>21410.3</c:v>
                </c:pt>
                <c:pt idx="87">
                  <c:v>21166.2</c:v>
                </c:pt>
                <c:pt idx="88">
                  <c:v>19181.2</c:v>
                </c:pt>
                <c:pt idx="89">
                  <c:v>21030.7</c:v>
                </c:pt>
                <c:pt idx="90">
                  <c:v>21932.7</c:v>
                </c:pt>
                <c:pt idx="91">
                  <c:v>21823.4</c:v>
                </c:pt>
                <c:pt idx="92">
                  <c:v>20149</c:v>
                </c:pt>
                <c:pt idx="93">
                  <c:v>22204.400000000001</c:v>
                </c:pt>
                <c:pt idx="94">
                  <c:v>23215.200000000001</c:v>
                </c:pt>
                <c:pt idx="95">
                  <c:v>22843</c:v>
                </c:pt>
                <c:pt idx="96">
                  <c:v>21329.7</c:v>
                </c:pt>
                <c:pt idx="97">
                  <c:v>23187.4</c:v>
                </c:pt>
                <c:pt idx="98">
                  <c:v>24037.7</c:v>
                </c:pt>
                <c:pt idx="99">
                  <c:v>23775.599999999999</c:v>
                </c:pt>
                <c:pt idx="100">
                  <c:v>21543.4</c:v>
                </c:pt>
                <c:pt idx="101">
                  <c:v>21633.4</c:v>
                </c:pt>
                <c:pt idx="102">
                  <c:v>24567.4</c:v>
                </c:pt>
                <c:pt idx="103">
                  <c:v>24358.7</c:v>
                </c:pt>
                <c:pt idx="104">
                  <c:v>22640.400000000001</c:v>
                </c:pt>
                <c:pt idx="105">
                  <c:v>24974.3</c:v>
                </c:pt>
                <c:pt idx="106">
                  <c:v>26166.3</c:v>
                </c:pt>
                <c:pt idx="107">
                  <c:v>25941.3</c:v>
                </c:pt>
                <c:pt idx="108">
                  <c:v>23561.4</c:v>
                </c:pt>
                <c:pt idx="109">
                  <c:v>25562.1</c:v>
                </c:pt>
                <c:pt idx="110">
                  <c:v>26799.200000000001</c:v>
                </c:pt>
                <c:pt idx="111">
                  <c:v>26495.8</c:v>
                </c:pt>
                <c:pt idx="112">
                  <c:v>25317.5</c:v>
                </c:pt>
                <c:pt idx="113">
                  <c:v>27908.3</c:v>
                </c:pt>
                <c:pt idx="114">
                  <c:v>29326.400000000001</c:v>
                </c:pt>
                <c:pt idx="115">
                  <c:v>29053.8</c:v>
                </c:pt>
                <c:pt idx="116">
                  <c:v>28806.3</c:v>
                </c:pt>
                <c:pt idx="117">
                  <c:v>31341.9</c:v>
                </c:pt>
                <c:pt idx="118">
                  <c:v>32685.4</c:v>
                </c:pt>
                <c:pt idx="119">
                  <c:v>32575.599999999999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9E-40C2-85DD-D801BD9E7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4761295"/>
        <c:axId val="1934761775"/>
      </c:lineChart>
      <c:catAx>
        <c:axId val="19347612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34761775"/>
        <c:crosses val="autoZero"/>
        <c:auto val="1"/>
        <c:lblAlgn val="ctr"/>
        <c:lblOffset val="100"/>
        <c:noMultiLvlLbl val="0"/>
      </c:catAx>
      <c:valAx>
        <c:axId val="193476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34761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'Ceny bytov'!$B$3</c:f>
              <c:strCache>
                <c:ptCount val="1"/>
                <c:pt idx="0">
                  <c:v>Kosicky kraj,cena byvania v €/m2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'Ceny bytov'!$A$4:$A$83</c:f>
              <c:strCache>
                <c:ptCount val="80"/>
                <c:pt idx="0">
                  <c:v>4Q 2024</c:v>
                </c:pt>
                <c:pt idx="1">
                  <c:v>3Q 2024</c:v>
                </c:pt>
                <c:pt idx="2">
                  <c:v>2Q 2024</c:v>
                </c:pt>
                <c:pt idx="3">
                  <c:v>1Q 2024</c:v>
                </c:pt>
                <c:pt idx="4">
                  <c:v>4Q 2023</c:v>
                </c:pt>
                <c:pt idx="5">
                  <c:v>3Q 2023</c:v>
                </c:pt>
                <c:pt idx="6">
                  <c:v>2Q 2023</c:v>
                </c:pt>
                <c:pt idx="7">
                  <c:v>1Q 2023</c:v>
                </c:pt>
                <c:pt idx="8">
                  <c:v>4Q 2022</c:v>
                </c:pt>
                <c:pt idx="9">
                  <c:v>3Q 2022</c:v>
                </c:pt>
                <c:pt idx="10">
                  <c:v>2Q 2022</c:v>
                </c:pt>
                <c:pt idx="11">
                  <c:v>1Q 2022</c:v>
                </c:pt>
                <c:pt idx="12">
                  <c:v>4Q 2021</c:v>
                </c:pt>
                <c:pt idx="13">
                  <c:v>3Q 2021</c:v>
                </c:pt>
                <c:pt idx="14">
                  <c:v>2Q 2021</c:v>
                </c:pt>
                <c:pt idx="15">
                  <c:v>1Q 2021</c:v>
                </c:pt>
                <c:pt idx="16">
                  <c:v>4Q 2020</c:v>
                </c:pt>
                <c:pt idx="17">
                  <c:v>3Q 2020</c:v>
                </c:pt>
                <c:pt idx="18">
                  <c:v>2Q 2020</c:v>
                </c:pt>
                <c:pt idx="19">
                  <c:v>1Q 2020</c:v>
                </c:pt>
                <c:pt idx="20">
                  <c:v>4Q 2019</c:v>
                </c:pt>
                <c:pt idx="21">
                  <c:v>3Q 2019</c:v>
                </c:pt>
                <c:pt idx="22">
                  <c:v>2Q 2019</c:v>
                </c:pt>
                <c:pt idx="23">
                  <c:v>1Q 2019</c:v>
                </c:pt>
                <c:pt idx="24">
                  <c:v>4Q 2018</c:v>
                </c:pt>
                <c:pt idx="25">
                  <c:v>3Q 2018</c:v>
                </c:pt>
                <c:pt idx="26">
                  <c:v>2Q 2018</c:v>
                </c:pt>
                <c:pt idx="27">
                  <c:v>1Q 2018</c:v>
                </c:pt>
                <c:pt idx="28">
                  <c:v>4Q 2017</c:v>
                </c:pt>
                <c:pt idx="29">
                  <c:v>3Q 2017</c:v>
                </c:pt>
                <c:pt idx="30">
                  <c:v>2Q 2017</c:v>
                </c:pt>
                <c:pt idx="31">
                  <c:v>1Q 2017</c:v>
                </c:pt>
                <c:pt idx="32">
                  <c:v>4Q 2016</c:v>
                </c:pt>
                <c:pt idx="33">
                  <c:v>3Q 2016</c:v>
                </c:pt>
                <c:pt idx="34">
                  <c:v>2Q 2016</c:v>
                </c:pt>
                <c:pt idx="35">
                  <c:v>1Q 2016</c:v>
                </c:pt>
                <c:pt idx="36">
                  <c:v>4Q 2015</c:v>
                </c:pt>
                <c:pt idx="37">
                  <c:v>3Q 2015</c:v>
                </c:pt>
                <c:pt idx="38">
                  <c:v>2Q 2015</c:v>
                </c:pt>
                <c:pt idx="39">
                  <c:v>1Q 2015</c:v>
                </c:pt>
                <c:pt idx="40">
                  <c:v>4Q 2014</c:v>
                </c:pt>
                <c:pt idx="41">
                  <c:v>3Q 2014</c:v>
                </c:pt>
                <c:pt idx="42">
                  <c:v>2Q 2014</c:v>
                </c:pt>
                <c:pt idx="43">
                  <c:v>1Q 2014</c:v>
                </c:pt>
                <c:pt idx="44">
                  <c:v>4Q 2013</c:v>
                </c:pt>
                <c:pt idx="45">
                  <c:v>3Q 2013</c:v>
                </c:pt>
                <c:pt idx="46">
                  <c:v>2Q 2013</c:v>
                </c:pt>
                <c:pt idx="47">
                  <c:v>1Q 2013</c:v>
                </c:pt>
                <c:pt idx="48">
                  <c:v>4Q 2012</c:v>
                </c:pt>
                <c:pt idx="49">
                  <c:v>3Q 2012</c:v>
                </c:pt>
                <c:pt idx="50">
                  <c:v>2Q 2012</c:v>
                </c:pt>
                <c:pt idx="51">
                  <c:v>1Q 2012</c:v>
                </c:pt>
                <c:pt idx="52">
                  <c:v>4Q 2011</c:v>
                </c:pt>
                <c:pt idx="53">
                  <c:v>3Q 2011</c:v>
                </c:pt>
                <c:pt idx="54">
                  <c:v>2Q 2011</c:v>
                </c:pt>
                <c:pt idx="55">
                  <c:v>1Q 2011</c:v>
                </c:pt>
                <c:pt idx="56">
                  <c:v>4Q 2010</c:v>
                </c:pt>
                <c:pt idx="57">
                  <c:v>3Q 2010</c:v>
                </c:pt>
                <c:pt idx="58">
                  <c:v>2Q 2010</c:v>
                </c:pt>
                <c:pt idx="59">
                  <c:v>1Q 2010</c:v>
                </c:pt>
                <c:pt idx="60">
                  <c:v>4Q 2009</c:v>
                </c:pt>
                <c:pt idx="61">
                  <c:v>3Q 2009</c:v>
                </c:pt>
                <c:pt idx="62">
                  <c:v>2Q 2009</c:v>
                </c:pt>
                <c:pt idx="63">
                  <c:v>1Q 2009</c:v>
                </c:pt>
                <c:pt idx="64">
                  <c:v>4Q 2008</c:v>
                </c:pt>
                <c:pt idx="65">
                  <c:v>3Q 2008</c:v>
                </c:pt>
                <c:pt idx="66">
                  <c:v>2Q 2008</c:v>
                </c:pt>
                <c:pt idx="67">
                  <c:v>1Q 2008</c:v>
                </c:pt>
                <c:pt idx="68">
                  <c:v>4Q 2007</c:v>
                </c:pt>
                <c:pt idx="69">
                  <c:v>3Q 2007</c:v>
                </c:pt>
                <c:pt idx="70">
                  <c:v>2Q 2007</c:v>
                </c:pt>
                <c:pt idx="71">
                  <c:v>1Q 2007</c:v>
                </c:pt>
                <c:pt idx="72">
                  <c:v>4Q 2006</c:v>
                </c:pt>
                <c:pt idx="73">
                  <c:v>3Q 2006</c:v>
                </c:pt>
                <c:pt idx="74">
                  <c:v>2Q 2006</c:v>
                </c:pt>
                <c:pt idx="75">
                  <c:v>1Q 2006</c:v>
                </c:pt>
                <c:pt idx="76">
                  <c:v>4Q 2005</c:v>
                </c:pt>
                <c:pt idx="77">
                  <c:v>3Q 2005</c:v>
                </c:pt>
                <c:pt idx="78">
                  <c:v>2Q 2005</c:v>
                </c:pt>
                <c:pt idx="79">
                  <c:v>1Q 2005</c:v>
                </c:pt>
              </c:strCache>
            </c:strRef>
          </c:cat>
          <c:val>
            <c:numRef>
              <c:f>'Ceny bytov'!$B$4:$B$83</c:f>
              <c:numCache>
                <c:formatCode>#,##0.00</c:formatCode>
                <c:ptCount val="80"/>
                <c:pt idx="0">
                  <c:v>2222.0875999999998</c:v>
                </c:pt>
                <c:pt idx="1">
                  <c:v>2087.1201000000001</c:v>
                </c:pt>
                <c:pt idx="2">
                  <c:v>2087.0147000000002</c:v>
                </c:pt>
                <c:pt idx="3">
                  <c:v>2011.4425000000001</c:v>
                </c:pt>
                <c:pt idx="4">
                  <c:v>2076.2923000000001</c:v>
                </c:pt>
                <c:pt idx="5">
                  <c:v>2016.1288</c:v>
                </c:pt>
                <c:pt idx="6">
                  <c:v>2095.9546999999998</c:v>
                </c:pt>
                <c:pt idx="7">
                  <c:v>2219.6264999999999</c:v>
                </c:pt>
                <c:pt idx="8">
                  <c:v>2364.2163999999998</c:v>
                </c:pt>
                <c:pt idx="9">
                  <c:v>2384.9151999999999</c:v>
                </c:pt>
                <c:pt idx="10">
                  <c:v>2348.2948999999999</c:v>
                </c:pt>
                <c:pt idx="11">
                  <c:v>2244.1104999999998</c:v>
                </c:pt>
                <c:pt idx="12">
                  <c:v>1946.4491</c:v>
                </c:pt>
                <c:pt idx="13">
                  <c:v>1809.5827999999999</c:v>
                </c:pt>
                <c:pt idx="14">
                  <c:v>1756.3045</c:v>
                </c:pt>
                <c:pt idx="15">
                  <c:v>1680.6198999999999</c:v>
                </c:pt>
                <c:pt idx="16">
                  <c:v>1434.0379</c:v>
                </c:pt>
                <c:pt idx="17">
                  <c:v>1420.6151</c:v>
                </c:pt>
                <c:pt idx="18">
                  <c:v>1353.5441000000001</c:v>
                </c:pt>
                <c:pt idx="19">
                  <c:v>1092.3929000000001</c:v>
                </c:pt>
                <c:pt idx="20">
                  <c:v>1034.9967999999999</c:v>
                </c:pt>
                <c:pt idx="21">
                  <c:v>1049.9546</c:v>
                </c:pt>
                <c:pt idx="22">
                  <c:v>1016.3045</c:v>
                </c:pt>
                <c:pt idx="23">
                  <c:v>1035.0641000000001</c:v>
                </c:pt>
                <c:pt idx="24">
                  <c:v>1045.9224999999999</c:v>
                </c:pt>
                <c:pt idx="25">
                  <c:v>1088.0441000000001</c:v>
                </c:pt>
                <c:pt idx="26">
                  <c:v>1078.5346</c:v>
                </c:pt>
                <c:pt idx="27">
                  <c:v>1073.1881000000001</c:v>
                </c:pt>
                <c:pt idx="28">
                  <c:v>1050.1002000000001</c:v>
                </c:pt>
                <c:pt idx="29">
                  <c:v>1066.7167999999999</c:v>
                </c:pt>
                <c:pt idx="30" formatCode="General">
                  <c:v>990.21559999999999</c:v>
                </c:pt>
                <c:pt idx="31" formatCode="General">
                  <c:v>952.83069999999998</c:v>
                </c:pt>
                <c:pt idx="32" formatCode="General">
                  <c:v>951.23400000000004</c:v>
                </c:pt>
                <c:pt idx="33" formatCode="General">
                  <c:v>927.72130000000004</c:v>
                </c:pt>
                <c:pt idx="34" formatCode="General">
                  <c:v>922.34479999999996</c:v>
                </c:pt>
                <c:pt idx="35" formatCode="General">
                  <c:v>927.96849999999995</c:v>
                </c:pt>
                <c:pt idx="36" formatCode="General">
                  <c:v>926.92200000000003</c:v>
                </c:pt>
                <c:pt idx="37" formatCode="General">
                  <c:v>964.95699999999999</c:v>
                </c:pt>
                <c:pt idx="38" formatCode="General">
                  <c:v>951.32820000000004</c:v>
                </c:pt>
                <c:pt idx="39" formatCode="General">
                  <c:v>941.18029999999999</c:v>
                </c:pt>
                <c:pt idx="40" formatCode="General">
                  <c:v>924.83209999999997</c:v>
                </c:pt>
                <c:pt idx="41" formatCode="General">
                  <c:v>936.37609999999995</c:v>
                </c:pt>
                <c:pt idx="42" formatCode="General">
                  <c:v>923.96460000000002</c:v>
                </c:pt>
                <c:pt idx="43" formatCode="General">
                  <c:v>894.0874</c:v>
                </c:pt>
                <c:pt idx="44" formatCode="General">
                  <c:v>894.04459999999995</c:v>
                </c:pt>
                <c:pt idx="45" formatCode="General">
                  <c:v>918.47180000000003</c:v>
                </c:pt>
                <c:pt idx="46" formatCode="General">
                  <c:v>945.16010000000006</c:v>
                </c:pt>
                <c:pt idx="47" formatCode="General">
                  <c:v>955.30880000000002</c:v>
                </c:pt>
                <c:pt idx="48" formatCode="General">
                  <c:v>973.05110000000002</c:v>
                </c:pt>
                <c:pt idx="49" formatCode="General">
                  <c:v>999.05290000000002</c:v>
                </c:pt>
                <c:pt idx="50" formatCode="General">
                  <c:v>953.70659999999998</c:v>
                </c:pt>
                <c:pt idx="51" formatCode="General">
                  <c:v>959.88720000000001</c:v>
                </c:pt>
                <c:pt idx="52" formatCode="General">
                  <c:v>954.48469999999998</c:v>
                </c:pt>
                <c:pt idx="53" formatCode="General">
                  <c:v>971.65279999999996</c:v>
                </c:pt>
                <c:pt idx="54" formatCode="General">
                  <c:v>978.05889999999999</c:v>
                </c:pt>
                <c:pt idx="55" formatCode="General">
                  <c:v>995.77179999999998</c:v>
                </c:pt>
                <c:pt idx="56" formatCode="General">
                  <c:v>992.74429999999995</c:v>
                </c:pt>
                <c:pt idx="57" formatCode="General">
                  <c:v>941.66899999999998</c:v>
                </c:pt>
                <c:pt idx="58" formatCode="General">
                  <c:v>911.22389999999996</c:v>
                </c:pt>
                <c:pt idx="59" formatCode="General">
                  <c:v>919.28189999999995</c:v>
                </c:pt>
                <c:pt idx="60" formatCode="General">
                  <c:v>916.94569999999999</c:v>
                </c:pt>
                <c:pt idx="61" formatCode="General">
                  <c:v>896.74289999999996</c:v>
                </c:pt>
                <c:pt idx="62" formatCode="General">
                  <c:v>913.29160000000002</c:v>
                </c:pt>
                <c:pt idx="63" formatCode="General">
                  <c:v>959.97619999999995</c:v>
                </c:pt>
                <c:pt idx="64">
                  <c:v>1107.8118999999999</c:v>
                </c:pt>
                <c:pt idx="65">
                  <c:v>1159.1279</c:v>
                </c:pt>
                <c:pt idx="66">
                  <c:v>1186.0740000000001</c:v>
                </c:pt>
                <c:pt idx="67">
                  <c:v>1093.3690999999999</c:v>
                </c:pt>
                <c:pt idx="68" formatCode="General">
                  <c:v>978.45979999999997</c:v>
                </c:pt>
                <c:pt idx="69" formatCode="General">
                  <c:v>862.70719999999994</c:v>
                </c:pt>
                <c:pt idx="70" formatCode="General">
                  <c:v>747.72209999999995</c:v>
                </c:pt>
                <c:pt idx="71" formatCode="General">
                  <c:v>660.4393</c:v>
                </c:pt>
                <c:pt idx="72" formatCode="General">
                  <c:v>606.55359999999996</c:v>
                </c:pt>
                <c:pt idx="73" formatCode="General">
                  <c:v>599.60530000000006</c:v>
                </c:pt>
                <c:pt idx="74" formatCode="General">
                  <c:v>580.31979999999999</c:v>
                </c:pt>
                <c:pt idx="75" formatCode="General">
                  <c:v>535.60310000000004</c:v>
                </c:pt>
                <c:pt idx="76" formatCode="General">
                  <c:v>529.83119999999997</c:v>
                </c:pt>
                <c:pt idx="77" formatCode="General">
                  <c:v>540.12450000000001</c:v>
                </c:pt>
                <c:pt idx="78" formatCode="General">
                  <c:v>514.19560000000001</c:v>
                </c:pt>
                <c:pt idx="79" formatCode="General">
                  <c:v>507.57819999999998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21-480C-A6E8-8AD54AB39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750655"/>
        <c:axId val="1947816143"/>
      </c:lineChart>
      <c:catAx>
        <c:axId val="382750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47816143"/>
        <c:crosses val="autoZero"/>
        <c:auto val="1"/>
        <c:lblAlgn val="ctr"/>
        <c:lblOffset val="100"/>
        <c:noMultiLvlLbl val="0"/>
      </c:catAx>
      <c:valAx>
        <c:axId val="194781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82750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769620</xdr:colOff>
      <xdr:row>11</xdr:row>
      <xdr:rowOff>38100</xdr:rowOff>
    </xdr:from>
    <xdr:to>
      <xdr:col>11</xdr:col>
      <xdr:colOff>579120</xdr:colOff>
      <xdr:row>30</xdr:row>
      <xdr:rowOff>121920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3D7747-40E2-1EFE-F29C-06E6080A14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213360</xdr:colOff>
      <xdr:row>2</xdr:row>
      <xdr:rowOff>91440</xdr:rowOff>
    </xdr:from>
    <xdr:to>
      <xdr:col>19</xdr:col>
      <xdr:colOff>114300</xdr:colOff>
      <xdr:row>24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A2CCDC-6BF5-C27F-5F9F-6E105EEE74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396240</xdr:colOff>
      <xdr:row>61</xdr:row>
      <xdr:rowOff>0</xdr:rowOff>
    </xdr:from>
    <xdr:to>
      <xdr:col>13</xdr:col>
      <xdr:colOff>601980</xdr:colOff>
      <xdr:row>81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8B6DBA-22BA-EAD6-26E0-57854ADB8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s" refreshedDate="45737.511621759259" createdVersion="1" refreshedVersion="8" recordCount="14" upgradeOnRefresh="1" xr:uid="{16650365-3221-4F38-AFFD-AAE29787E72C}">
  <cacheSource type="worksheet">
    <worksheetSource ref="A1:F15" sheet="kontingenčná tabuľka"/>
  </cacheSource>
  <cacheFields count="6">
    <cacheField name="dátum" numFmtId="14">
      <sharedItems containsSemiMixedTypes="0" containsNonDate="0" containsDate="1" containsString="0" minDate="2014-03-10T00:00:00" maxDate="2014-03-15T00:00:00" count="5">
        <d v="2014-03-10T00:00:00"/>
        <d v="2014-03-11T00:00:00"/>
        <d v="2014-03-12T00:00:00"/>
        <d v="2014-03-13T00:00:00"/>
        <d v="2014-03-14T00:00:00"/>
      </sharedItems>
    </cacheField>
    <cacheField name="predavač" numFmtId="0">
      <sharedItems count="6">
        <s v="Páleš"/>
        <s v="Dobrá"/>
        <s v="Lepeník"/>
        <s v="Malá"/>
        <s v="Havranová"/>
        <s v="Komelár"/>
      </sharedItems>
    </cacheField>
    <cacheField name="tovar " numFmtId="0">
      <sharedItems count="3">
        <s v="elektro"/>
        <s v="nábytok"/>
        <s v="sklo"/>
      </sharedItems>
    </cacheField>
    <cacheField name="množstvo" numFmtId="0">
      <sharedItems containsSemiMixedTypes="0" containsString="0" containsNumber="1" containsInteger="1" minValue="12" maxValue="70" count="12">
        <n v="30"/>
        <n v="26"/>
        <n v="70"/>
        <n v="14"/>
        <n v="16"/>
        <n v="50"/>
        <n v="22"/>
        <n v="28"/>
        <n v="12"/>
        <n v="55"/>
        <n v="45"/>
        <n v="32"/>
      </sharedItems>
    </cacheField>
    <cacheField name="cena" numFmtId="0">
      <sharedItems containsSemiMixedTypes="0" containsString="0" containsNumber="1" containsInteger="1" minValue="10" maxValue="60"/>
    </cacheField>
    <cacheField name="celkom" numFmtId="0">
      <sharedItems containsSemiMixedTypes="0" containsString="0" containsNumber="1" containsInteger="1" minValue="120" maxValue="2100" count="12">
        <n v="600"/>
        <n v="390"/>
        <n v="2100"/>
        <n v="560"/>
        <n v="800"/>
        <n v="500"/>
        <n v="440"/>
        <n v="1680"/>
        <n v="120"/>
        <n v="260"/>
        <n v="1650"/>
        <n v="202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x v="0"/>
    <x v="0"/>
    <n v="20"/>
    <x v="0"/>
  </r>
  <r>
    <x v="0"/>
    <x v="1"/>
    <x v="1"/>
    <x v="1"/>
    <n v="15"/>
    <x v="1"/>
  </r>
  <r>
    <x v="0"/>
    <x v="2"/>
    <x v="0"/>
    <x v="2"/>
    <n v="30"/>
    <x v="2"/>
  </r>
  <r>
    <x v="1"/>
    <x v="3"/>
    <x v="2"/>
    <x v="3"/>
    <n v="40"/>
    <x v="3"/>
  </r>
  <r>
    <x v="1"/>
    <x v="4"/>
    <x v="1"/>
    <x v="4"/>
    <n v="50"/>
    <x v="4"/>
  </r>
  <r>
    <x v="2"/>
    <x v="5"/>
    <x v="0"/>
    <x v="5"/>
    <n v="10"/>
    <x v="5"/>
  </r>
  <r>
    <x v="2"/>
    <x v="3"/>
    <x v="2"/>
    <x v="6"/>
    <n v="20"/>
    <x v="6"/>
  </r>
  <r>
    <x v="2"/>
    <x v="2"/>
    <x v="0"/>
    <x v="7"/>
    <n v="60"/>
    <x v="7"/>
  </r>
  <r>
    <x v="3"/>
    <x v="0"/>
    <x v="2"/>
    <x v="8"/>
    <n v="10"/>
    <x v="8"/>
  </r>
  <r>
    <x v="3"/>
    <x v="0"/>
    <x v="2"/>
    <x v="1"/>
    <n v="10"/>
    <x v="9"/>
  </r>
  <r>
    <x v="3"/>
    <x v="1"/>
    <x v="0"/>
    <x v="0"/>
    <n v="20"/>
    <x v="0"/>
  </r>
  <r>
    <x v="4"/>
    <x v="1"/>
    <x v="2"/>
    <x v="9"/>
    <n v="30"/>
    <x v="10"/>
  </r>
  <r>
    <x v="4"/>
    <x v="2"/>
    <x v="1"/>
    <x v="10"/>
    <n v="45"/>
    <x v="11"/>
  </r>
  <r>
    <x v="4"/>
    <x v="5"/>
    <x v="1"/>
    <x v="11"/>
    <n v="2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0F9F8-641E-474D-8EF6-1BA1A04D1DDE}" name="PivotTable1" cacheId="0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H6:O11" firstHeaderRow="1" firstDataRow="2" firstDataCol="1"/>
  <pivotFields count="6">
    <pivotField compact="0" numFmtId="14" outline="0" showAll="0" includeNewItemsInFilter="1"/>
    <pivotField axis="axisCol" compact="0" outline="0" showAll="0" includeNewItemsInFilter="1">
      <items count="7">
        <item x="1"/>
        <item x="4"/>
        <item x="5"/>
        <item x="2"/>
        <item x="3"/>
        <item x="0"/>
        <item t="default"/>
      </items>
    </pivotField>
    <pivotField axis="axisRow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>
      <items count="13">
        <item x="8"/>
        <item x="3"/>
        <item x="4"/>
        <item x="6"/>
        <item x="1"/>
        <item x="7"/>
        <item x="0"/>
        <item x="11"/>
        <item x="10"/>
        <item x="5"/>
        <item x="9"/>
        <item x="2"/>
        <item t="default"/>
      </items>
    </pivotField>
    <pivotField compact="0" outline="0" showAll="0" includeNewItemsInFilter="1"/>
    <pivotField dataField="1" compact="0" outline="0" showAll="0" includeNewItemsInFilter="1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celkom" fld="5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35BA-2697-4C5B-99BC-1E722BD4AE28}">
  <dimension ref="A1:R39"/>
  <sheetViews>
    <sheetView topLeftCell="C13" zoomScale="119" zoomScaleNormal="119" workbookViewId="0">
      <selection activeCell="M39" sqref="M39"/>
    </sheetView>
  </sheetViews>
  <sheetFormatPr defaultRowHeight="14.4" x14ac:dyDescent="0.3"/>
  <cols>
    <col min="1" max="1" width="6.109375" customWidth="1"/>
    <col min="2" max="2" width="4.6640625" customWidth="1"/>
    <col min="3" max="3" width="7.44140625" style="19" customWidth="1"/>
    <col min="4" max="4" width="9.109375" customWidth="1"/>
    <col min="5" max="5" width="8.5546875" customWidth="1"/>
    <col min="6" max="6" width="10.6640625" customWidth="1"/>
    <col min="9" max="9" width="10.6640625" customWidth="1"/>
    <col min="10" max="10" width="18.109375" customWidth="1"/>
    <col min="11" max="11" width="13.5546875" customWidth="1"/>
    <col min="12" max="13" width="21.5546875" customWidth="1"/>
    <col min="15" max="15" width="12.88671875" customWidth="1"/>
    <col min="16" max="16" width="9.109375" customWidth="1"/>
  </cols>
  <sheetData>
    <row r="1" spans="1:18" x14ac:dyDescent="0.3">
      <c r="A1" s="23" t="s">
        <v>15</v>
      </c>
      <c r="B1" s="24" t="s">
        <v>16</v>
      </c>
      <c r="C1" s="25" t="s">
        <v>17</v>
      </c>
      <c r="D1" s="26" t="s">
        <v>18</v>
      </c>
      <c r="E1" s="27" t="s">
        <v>19</v>
      </c>
      <c r="K1" s="43" t="s">
        <v>45</v>
      </c>
      <c r="L1" s="44" t="s">
        <v>39</v>
      </c>
      <c r="M1" s="45" t="s">
        <v>40</v>
      </c>
      <c r="P1" s="26" t="s">
        <v>18</v>
      </c>
    </row>
    <row r="2" spans="1:18" x14ac:dyDescent="0.3">
      <c r="A2" s="28" t="s">
        <v>20</v>
      </c>
      <c r="B2">
        <v>18</v>
      </c>
      <c r="C2" s="19">
        <v>158</v>
      </c>
      <c r="D2">
        <v>50</v>
      </c>
      <c r="E2" s="29">
        <v>20.03</v>
      </c>
      <c r="G2" s="13" t="s">
        <v>21</v>
      </c>
      <c r="K2" s="5">
        <f>C2-G5</f>
        <v>-17.777777777777771</v>
      </c>
      <c r="L2" s="4">
        <f>POWER(K2,2)</f>
        <v>316.04938271604914</v>
      </c>
      <c r="M2" s="46"/>
      <c r="P2">
        <v>100</v>
      </c>
    </row>
    <row r="3" spans="1:18" x14ac:dyDescent="0.3">
      <c r="A3" s="28" t="s">
        <v>20</v>
      </c>
      <c r="B3">
        <v>18</v>
      </c>
      <c r="C3" s="19">
        <v>169</v>
      </c>
      <c r="D3">
        <v>60</v>
      </c>
      <c r="E3" s="29">
        <v>21.01</v>
      </c>
      <c r="F3" s="18" t="s">
        <v>37</v>
      </c>
      <c r="G3" s="14"/>
      <c r="K3" s="5">
        <f>C3-$G$5</f>
        <v>-6.7777777777777715</v>
      </c>
      <c r="L3" s="4">
        <f t="shared" ref="L3:L37" si="0">POWER(K3,2)</f>
        <v>45.938271604938187</v>
      </c>
      <c r="M3" s="46"/>
      <c r="P3">
        <v>95</v>
      </c>
    </row>
    <row r="4" spans="1:18" x14ac:dyDescent="0.3">
      <c r="A4" s="28" t="s">
        <v>22</v>
      </c>
      <c r="B4">
        <v>18</v>
      </c>
      <c r="C4" s="19">
        <v>185</v>
      </c>
      <c r="D4">
        <v>80</v>
      </c>
      <c r="E4" s="29">
        <v>23.38</v>
      </c>
      <c r="F4" s="21" t="s">
        <v>23</v>
      </c>
      <c r="G4" s="15">
        <f>COUNT(C2:C37)</f>
        <v>36</v>
      </c>
      <c r="H4" t="s">
        <v>24</v>
      </c>
      <c r="K4" s="5">
        <f t="shared" ref="K4:K37" si="1">C4-$G$5</f>
        <v>9.2222222222222285</v>
      </c>
      <c r="L4" s="4">
        <f t="shared" si="0"/>
        <v>85.049382716049493</v>
      </c>
      <c r="M4" s="46"/>
      <c r="P4">
        <v>89</v>
      </c>
      <c r="Q4" s="41"/>
      <c r="R4" s="41"/>
    </row>
    <row r="5" spans="1:18" x14ac:dyDescent="0.3">
      <c r="A5" s="28" t="s">
        <v>22</v>
      </c>
      <c r="B5">
        <v>18</v>
      </c>
      <c r="C5" s="19">
        <v>184</v>
      </c>
      <c r="D5">
        <v>75</v>
      </c>
      <c r="E5" s="29">
        <v>22.15</v>
      </c>
      <c r="F5" s="20" t="s">
        <v>25</v>
      </c>
      <c r="G5" s="17">
        <f>AVERAGE(C2:C37)</f>
        <v>175.77777777777777</v>
      </c>
      <c r="H5" t="s">
        <v>26</v>
      </c>
      <c r="K5" s="5">
        <f t="shared" si="1"/>
        <v>8.2222222222222285</v>
      </c>
      <c r="L5" s="4">
        <f t="shared" si="0"/>
        <v>67.604938271605036</v>
      </c>
      <c r="M5" s="46"/>
      <c r="P5">
        <v>84</v>
      </c>
      <c r="R5" s="42"/>
    </row>
    <row r="6" spans="1:18" x14ac:dyDescent="0.3">
      <c r="A6" s="28" t="s">
        <v>22</v>
      </c>
      <c r="B6">
        <v>20</v>
      </c>
      <c r="C6" s="19">
        <v>174</v>
      </c>
      <c r="D6">
        <v>72</v>
      </c>
      <c r="E6" s="29">
        <v>23.78</v>
      </c>
      <c r="F6" s="20" t="s">
        <v>27</v>
      </c>
      <c r="G6" s="37">
        <f>MIN(C2:C37)</f>
        <v>154</v>
      </c>
      <c r="H6" t="s">
        <v>28</v>
      </c>
      <c r="K6" s="5">
        <f t="shared" si="1"/>
        <v>-1.7777777777777715</v>
      </c>
      <c r="L6" s="4">
        <f t="shared" si="0"/>
        <v>3.1604938271604714</v>
      </c>
      <c r="M6" s="46"/>
      <c r="P6">
        <v>81</v>
      </c>
      <c r="R6" s="42"/>
    </row>
    <row r="7" spans="1:18" x14ac:dyDescent="0.3">
      <c r="A7" s="28" t="s">
        <v>22</v>
      </c>
      <c r="B7">
        <v>19</v>
      </c>
      <c r="C7" s="19">
        <v>191</v>
      </c>
      <c r="D7">
        <v>89</v>
      </c>
      <c r="E7" s="29">
        <v>24.4</v>
      </c>
      <c r="F7" s="20" t="s">
        <v>29</v>
      </c>
      <c r="G7" s="37">
        <f>MAX(C2:C37)</f>
        <v>195</v>
      </c>
      <c r="H7" t="s">
        <v>30</v>
      </c>
      <c r="K7" s="5">
        <f t="shared" si="1"/>
        <v>15.222222222222229</v>
      </c>
      <c r="L7" s="4">
        <f t="shared" si="0"/>
        <v>231.71604938271625</v>
      </c>
      <c r="M7" s="46"/>
      <c r="P7">
        <v>80</v>
      </c>
      <c r="R7" s="42"/>
    </row>
    <row r="8" spans="1:18" x14ac:dyDescent="0.3">
      <c r="A8" s="28" t="s">
        <v>22</v>
      </c>
      <c r="B8">
        <v>20</v>
      </c>
      <c r="C8" s="19">
        <v>185</v>
      </c>
      <c r="D8">
        <v>77</v>
      </c>
      <c r="E8" s="29">
        <v>22.5</v>
      </c>
      <c r="F8" s="20" t="s">
        <v>31</v>
      </c>
      <c r="G8" s="37">
        <f>MEDIAN(C2:C37)</f>
        <v>177</v>
      </c>
      <c r="H8" t="s">
        <v>32</v>
      </c>
      <c r="K8" s="5">
        <f t="shared" si="1"/>
        <v>9.2222222222222285</v>
      </c>
      <c r="L8" s="4">
        <f t="shared" si="0"/>
        <v>85.049382716049493</v>
      </c>
      <c r="M8" s="46"/>
      <c r="P8">
        <v>80</v>
      </c>
      <c r="R8" s="42"/>
    </row>
    <row r="9" spans="1:18" x14ac:dyDescent="0.3">
      <c r="A9" s="28" t="s">
        <v>20</v>
      </c>
      <c r="B9">
        <v>19</v>
      </c>
      <c r="C9" s="19">
        <v>164</v>
      </c>
      <c r="D9">
        <v>47</v>
      </c>
      <c r="E9" s="29">
        <v>17.48</v>
      </c>
      <c r="F9" s="22" t="s">
        <v>33</v>
      </c>
      <c r="G9" s="37">
        <f>MODE(C2:C37)</f>
        <v>180</v>
      </c>
      <c r="H9" t="s">
        <v>34</v>
      </c>
      <c r="K9" s="5">
        <f t="shared" si="1"/>
        <v>-11.777777777777771</v>
      </c>
      <c r="L9" s="4">
        <f t="shared" si="0"/>
        <v>138.71604938271591</v>
      </c>
      <c r="M9" s="46"/>
      <c r="P9">
        <v>79</v>
      </c>
      <c r="R9" s="42"/>
    </row>
    <row r="10" spans="1:18" x14ac:dyDescent="0.3">
      <c r="A10" s="28" t="s">
        <v>20</v>
      </c>
      <c r="B10">
        <v>18</v>
      </c>
      <c r="C10" s="19">
        <v>173</v>
      </c>
      <c r="D10">
        <v>65</v>
      </c>
      <c r="E10" s="29">
        <v>21.72</v>
      </c>
      <c r="F10" s="20" t="s">
        <v>50</v>
      </c>
      <c r="G10" s="36" cm="1">
        <f t="array" ref="G10:G11">_xlfn.MODE.MULT(C2:C37)</f>
        <v>180</v>
      </c>
      <c r="K10" s="5">
        <f t="shared" si="1"/>
        <v>-2.7777777777777715</v>
      </c>
      <c r="L10" s="4">
        <f t="shared" si="0"/>
        <v>7.7160493827160144</v>
      </c>
      <c r="M10" s="46"/>
      <c r="P10" s="49">
        <v>78</v>
      </c>
    </row>
    <row r="11" spans="1:18" x14ac:dyDescent="0.3">
      <c r="A11" s="28" t="s">
        <v>20</v>
      </c>
      <c r="B11">
        <v>19</v>
      </c>
      <c r="C11" s="19">
        <v>154</v>
      </c>
      <c r="D11">
        <v>52</v>
      </c>
      <c r="E11" s="29">
        <v>21.93</v>
      </c>
      <c r="F11" s="20" t="s">
        <v>50</v>
      </c>
      <c r="G11" s="36">
        <v>182</v>
      </c>
      <c r="K11" s="5">
        <f t="shared" si="1"/>
        <v>-21.777777777777771</v>
      </c>
      <c r="L11" s="4">
        <f t="shared" si="0"/>
        <v>474.27160493827131</v>
      </c>
      <c r="M11" s="46"/>
      <c r="P11">
        <v>77</v>
      </c>
    </row>
    <row r="12" spans="1:18" x14ac:dyDescent="0.3">
      <c r="A12" s="28" t="s">
        <v>20</v>
      </c>
      <c r="B12">
        <v>19</v>
      </c>
      <c r="C12" s="19">
        <v>178</v>
      </c>
      <c r="D12">
        <v>78</v>
      </c>
      <c r="E12" s="29">
        <v>24.62</v>
      </c>
      <c r="F12" t="s">
        <v>36</v>
      </c>
      <c r="G12" t="s">
        <v>35</v>
      </c>
      <c r="K12" s="5">
        <f t="shared" si="1"/>
        <v>2.2222222222222285</v>
      </c>
      <c r="L12" s="4">
        <f t="shared" si="0"/>
        <v>4.9382716049382998</v>
      </c>
      <c r="M12" s="46"/>
      <c r="P12">
        <v>77</v>
      </c>
    </row>
    <row r="13" spans="1:18" x14ac:dyDescent="0.3">
      <c r="A13" s="28" t="s">
        <v>22</v>
      </c>
      <c r="B13">
        <v>18</v>
      </c>
      <c r="C13" s="19">
        <v>176</v>
      </c>
      <c r="D13">
        <v>74</v>
      </c>
      <c r="E13" s="29">
        <v>23.89</v>
      </c>
      <c r="H13">
        <f>RANK(78,D2:D37)</f>
        <v>9</v>
      </c>
      <c r="I13" s="36">
        <v>9</v>
      </c>
      <c r="K13" s="5">
        <f t="shared" si="1"/>
        <v>0.22222222222222854</v>
      </c>
      <c r="L13" s="4">
        <f t="shared" si="0"/>
        <v>4.9382716049385524E-2</v>
      </c>
      <c r="M13" s="46"/>
      <c r="P13">
        <v>75</v>
      </c>
    </row>
    <row r="14" spans="1:18" x14ac:dyDescent="0.3">
      <c r="A14" s="28" t="s">
        <v>22</v>
      </c>
      <c r="B14">
        <v>18</v>
      </c>
      <c r="C14" s="19">
        <v>186</v>
      </c>
      <c r="D14">
        <v>81</v>
      </c>
      <c r="E14" s="38">
        <v>23.41</v>
      </c>
      <c r="F14" s="35" t="s">
        <v>41</v>
      </c>
      <c r="G14" s="48">
        <f>SKEW(C2:C37)</f>
        <v>-0.35092897642536119</v>
      </c>
      <c r="K14" s="5">
        <f t="shared" si="1"/>
        <v>10.222222222222229</v>
      </c>
      <c r="L14" s="4">
        <f t="shared" si="0"/>
        <v>104.49382716049395</v>
      </c>
      <c r="M14" s="46"/>
      <c r="P14">
        <v>75</v>
      </c>
    </row>
    <row r="15" spans="1:18" x14ac:dyDescent="0.3">
      <c r="A15" s="28" t="s">
        <v>22</v>
      </c>
      <c r="B15">
        <v>19</v>
      </c>
      <c r="C15" s="19">
        <v>195</v>
      </c>
      <c r="D15">
        <v>79</v>
      </c>
      <c r="E15" s="38">
        <v>20.78</v>
      </c>
      <c r="F15" s="16" t="s">
        <v>42</v>
      </c>
      <c r="G15" s="37">
        <f>KURT(C2:C37)</f>
        <v>-0.43075767525844277</v>
      </c>
      <c r="K15" s="5">
        <f t="shared" si="1"/>
        <v>19.222222222222229</v>
      </c>
      <c r="L15" s="4">
        <f t="shared" si="0"/>
        <v>369.49382716049405</v>
      </c>
      <c r="M15" s="46"/>
      <c r="P15">
        <v>74</v>
      </c>
    </row>
    <row r="16" spans="1:18" x14ac:dyDescent="0.3">
      <c r="A16" s="28" t="s">
        <v>22</v>
      </c>
      <c r="B16">
        <v>19</v>
      </c>
      <c r="C16" s="19">
        <v>180</v>
      </c>
      <c r="D16">
        <v>75</v>
      </c>
      <c r="E16" s="38">
        <v>23.15</v>
      </c>
      <c r="F16" s="16" t="s">
        <v>43</v>
      </c>
      <c r="G16" s="37">
        <f>VARP(C2:C37)</f>
        <v>92.561728395061721</v>
      </c>
      <c r="H16" t="s">
        <v>44</v>
      </c>
      <c r="K16" s="5">
        <f t="shared" si="1"/>
        <v>4.2222222222222285</v>
      </c>
      <c r="L16" s="4">
        <f t="shared" si="0"/>
        <v>17.827160493827215</v>
      </c>
      <c r="M16" s="46"/>
      <c r="P16">
        <v>72</v>
      </c>
    </row>
    <row r="17" spans="1:16" x14ac:dyDescent="0.3">
      <c r="A17" s="28" t="s">
        <v>20</v>
      </c>
      <c r="B17">
        <v>18</v>
      </c>
      <c r="C17" s="19">
        <v>164</v>
      </c>
      <c r="D17">
        <v>52</v>
      </c>
      <c r="E17" s="38">
        <v>19.329999999999998</v>
      </c>
      <c r="F17" s="20" t="s">
        <v>46</v>
      </c>
      <c r="G17" s="39">
        <f>_xlfn.STDEV.P(C2:C37)</f>
        <v>9.6209006020778389</v>
      </c>
      <c r="K17" s="5">
        <f t="shared" si="1"/>
        <v>-11.777777777777771</v>
      </c>
      <c r="L17" s="4">
        <f t="shared" si="0"/>
        <v>138.71604938271591</v>
      </c>
      <c r="M17" s="46"/>
      <c r="P17">
        <v>70</v>
      </c>
    </row>
    <row r="18" spans="1:16" x14ac:dyDescent="0.3">
      <c r="A18" s="28" t="s">
        <v>20</v>
      </c>
      <c r="B18">
        <v>20</v>
      </c>
      <c r="C18" s="19">
        <v>169</v>
      </c>
      <c r="D18">
        <v>54</v>
      </c>
      <c r="E18" s="29">
        <v>18.91</v>
      </c>
      <c r="K18" s="5">
        <f t="shared" si="1"/>
        <v>-6.7777777777777715</v>
      </c>
      <c r="L18" s="4">
        <f t="shared" si="0"/>
        <v>45.938271604938187</v>
      </c>
      <c r="M18" s="46"/>
      <c r="P18">
        <v>70</v>
      </c>
    </row>
    <row r="19" spans="1:16" x14ac:dyDescent="0.3">
      <c r="A19" s="28" t="s">
        <v>22</v>
      </c>
      <c r="B19">
        <v>19</v>
      </c>
      <c r="C19" s="19">
        <v>184</v>
      </c>
      <c r="D19">
        <v>77</v>
      </c>
      <c r="E19" s="29">
        <v>22.74</v>
      </c>
      <c r="F19" s="20"/>
      <c r="K19" s="5">
        <f t="shared" si="1"/>
        <v>8.2222222222222285</v>
      </c>
      <c r="L19" s="4">
        <f t="shared" si="0"/>
        <v>67.604938271605036</v>
      </c>
      <c r="M19" s="46"/>
      <c r="P19">
        <v>70</v>
      </c>
    </row>
    <row r="20" spans="1:16" x14ac:dyDescent="0.3">
      <c r="A20" s="28" t="s">
        <v>22</v>
      </c>
      <c r="B20">
        <v>18</v>
      </c>
      <c r="C20" s="19">
        <v>186</v>
      </c>
      <c r="D20">
        <v>95</v>
      </c>
      <c r="E20" s="29">
        <v>27.46</v>
      </c>
      <c r="K20" s="5">
        <f t="shared" si="1"/>
        <v>10.222222222222229</v>
      </c>
      <c r="L20" s="4">
        <f t="shared" si="0"/>
        <v>104.49382716049395</v>
      </c>
      <c r="M20" s="46"/>
      <c r="P20">
        <v>68</v>
      </c>
    </row>
    <row r="21" spans="1:16" x14ac:dyDescent="0.3">
      <c r="A21" s="28" t="s">
        <v>22</v>
      </c>
      <c r="B21">
        <v>18</v>
      </c>
      <c r="C21" s="19">
        <v>183</v>
      </c>
      <c r="D21">
        <v>70</v>
      </c>
      <c r="E21" s="29">
        <v>20.9</v>
      </c>
      <c r="K21" s="5">
        <f t="shared" si="1"/>
        <v>7.2222222222222285</v>
      </c>
      <c r="L21" s="4">
        <f t="shared" si="0"/>
        <v>52.160493827160586</v>
      </c>
      <c r="M21" s="46"/>
      <c r="P21">
        <v>68</v>
      </c>
    </row>
    <row r="22" spans="1:16" x14ac:dyDescent="0.3">
      <c r="A22" s="28" t="s">
        <v>22</v>
      </c>
      <c r="B22">
        <v>18</v>
      </c>
      <c r="C22" s="19">
        <v>176</v>
      </c>
      <c r="D22">
        <v>70</v>
      </c>
      <c r="E22" s="29">
        <v>22.6</v>
      </c>
      <c r="K22" s="5">
        <f t="shared" si="1"/>
        <v>0.22222222222222854</v>
      </c>
      <c r="L22" s="4">
        <f t="shared" si="0"/>
        <v>4.9382716049385524E-2</v>
      </c>
      <c r="M22" s="46"/>
      <c r="P22">
        <v>65</v>
      </c>
    </row>
    <row r="23" spans="1:16" x14ac:dyDescent="0.3">
      <c r="A23" s="28" t="s">
        <v>22</v>
      </c>
      <c r="B23">
        <v>19</v>
      </c>
      <c r="C23" s="19">
        <v>187</v>
      </c>
      <c r="D23">
        <v>84</v>
      </c>
      <c r="E23" s="29">
        <v>24.02</v>
      </c>
      <c r="K23" s="5">
        <f t="shared" si="1"/>
        <v>11.222222222222229</v>
      </c>
      <c r="L23" s="4">
        <f t="shared" si="0"/>
        <v>125.93827160493841</v>
      </c>
      <c r="M23" s="46"/>
      <c r="P23">
        <v>65</v>
      </c>
    </row>
    <row r="24" spans="1:16" x14ac:dyDescent="0.3">
      <c r="A24" s="28" t="s">
        <v>20</v>
      </c>
      <c r="B24">
        <v>18</v>
      </c>
      <c r="C24" s="19">
        <v>173</v>
      </c>
      <c r="D24">
        <v>68</v>
      </c>
      <c r="E24" s="29">
        <v>22.72</v>
      </c>
      <c r="K24" s="5">
        <f t="shared" si="1"/>
        <v>-2.7777777777777715</v>
      </c>
      <c r="L24" s="4">
        <f t="shared" si="0"/>
        <v>7.7160493827160144</v>
      </c>
      <c r="M24" s="46"/>
      <c r="P24">
        <v>65</v>
      </c>
    </row>
    <row r="25" spans="1:16" x14ac:dyDescent="0.3">
      <c r="A25" s="28" t="s">
        <v>20</v>
      </c>
      <c r="B25">
        <v>19</v>
      </c>
      <c r="C25" s="19">
        <v>170</v>
      </c>
      <c r="D25">
        <v>60</v>
      </c>
      <c r="E25" s="29">
        <v>20.76</v>
      </c>
      <c r="K25" s="5">
        <f t="shared" si="1"/>
        <v>-5.7777777777777715</v>
      </c>
      <c r="L25" s="4">
        <f t="shared" si="0"/>
        <v>33.382716049382644</v>
      </c>
      <c r="M25" s="46"/>
      <c r="P25">
        <v>62</v>
      </c>
    </row>
    <row r="26" spans="1:16" x14ac:dyDescent="0.3">
      <c r="A26" s="28" t="s">
        <v>20</v>
      </c>
      <c r="B26">
        <v>18</v>
      </c>
      <c r="C26" s="19">
        <v>160</v>
      </c>
      <c r="D26">
        <v>50</v>
      </c>
      <c r="E26" s="29">
        <v>19.53</v>
      </c>
      <c r="K26" s="5">
        <f t="shared" si="1"/>
        <v>-15.777777777777771</v>
      </c>
      <c r="L26" s="4">
        <f t="shared" si="0"/>
        <v>248.93827160493808</v>
      </c>
      <c r="M26" s="46"/>
      <c r="P26">
        <v>60</v>
      </c>
    </row>
    <row r="27" spans="1:16" x14ac:dyDescent="0.3">
      <c r="A27" s="28" t="s">
        <v>20</v>
      </c>
      <c r="B27">
        <v>18</v>
      </c>
      <c r="C27" s="19">
        <v>168</v>
      </c>
      <c r="D27">
        <v>58</v>
      </c>
      <c r="E27" s="29">
        <v>20.55</v>
      </c>
      <c r="K27" s="5">
        <f t="shared" si="1"/>
        <v>-7.7777777777777715</v>
      </c>
      <c r="L27" s="4">
        <f t="shared" si="0"/>
        <v>60.49382716049373</v>
      </c>
      <c r="M27" s="46"/>
      <c r="P27">
        <v>60</v>
      </c>
    </row>
    <row r="28" spans="1:16" x14ac:dyDescent="0.3">
      <c r="A28" s="28" t="s">
        <v>20</v>
      </c>
      <c r="B28">
        <v>18</v>
      </c>
      <c r="C28" s="19">
        <v>168</v>
      </c>
      <c r="D28">
        <v>62</v>
      </c>
      <c r="E28" s="29">
        <v>21.97</v>
      </c>
      <c r="K28" s="5">
        <f t="shared" si="1"/>
        <v>-7.7777777777777715</v>
      </c>
      <c r="L28" s="4">
        <f t="shared" si="0"/>
        <v>60.49382716049373</v>
      </c>
      <c r="M28" s="46"/>
      <c r="P28">
        <v>58</v>
      </c>
    </row>
    <row r="29" spans="1:16" x14ac:dyDescent="0.3">
      <c r="A29" s="28" t="s">
        <v>22</v>
      </c>
      <c r="B29">
        <v>20</v>
      </c>
      <c r="C29" s="19">
        <v>182</v>
      </c>
      <c r="D29">
        <v>70</v>
      </c>
      <c r="E29" s="29">
        <v>21.13</v>
      </c>
      <c r="K29" s="5">
        <f t="shared" si="1"/>
        <v>6.2222222222222285</v>
      </c>
      <c r="L29" s="4">
        <f t="shared" si="0"/>
        <v>38.716049382716129</v>
      </c>
      <c r="M29" s="46"/>
      <c r="P29">
        <v>57</v>
      </c>
    </row>
    <row r="30" spans="1:16" x14ac:dyDescent="0.3">
      <c r="A30" s="28" t="s">
        <v>22</v>
      </c>
      <c r="B30">
        <v>20</v>
      </c>
      <c r="C30" s="19">
        <v>172</v>
      </c>
      <c r="D30">
        <v>57</v>
      </c>
      <c r="E30" s="29">
        <v>19.27</v>
      </c>
      <c r="K30" s="5">
        <f t="shared" si="1"/>
        <v>-3.7777777777777715</v>
      </c>
      <c r="L30" s="4">
        <f t="shared" si="0"/>
        <v>14.271604938271556</v>
      </c>
      <c r="M30" s="46"/>
      <c r="P30">
        <v>54</v>
      </c>
    </row>
    <row r="31" spans="1:16" x14ac:dyDescent="0.3">
      <c r="A31" s="28" t="s">
        <v>20</v>
      </c>
      <c r="B31">
        <v>18</v>
      </c>
      <c r="C31" s="19">
        <v>160</v>
      </c>
      <c r="D31">
        <v>54</v>
      </c>
      <c r="E31" s="29">
        <v>21.09</v>
      </c>
      <c r="K31" s="5">
        <f t="shared" si="1"/>
        <v>-15.777777777777771</v>
      </c>
      <c r="L31" s="4">
        <f t="shared" si="0"/>
        <v>248.93827160493808</v>
      </c>
      <c r="M31" s="46"/>
      <c r="P31">
        <v>54</v>
      </c>
    </row>
    <row r="32" spans="1:16" x14ac:dyDescent="0.3">
      <c r="A32" s="28" t="s">
        <v>22</v>
      </c>
      <c r="B32">
        <v>18</v>
      </c>
      <c r="C32" s="19">
        <v>182</v>
      </c>
      <c r="D32">
        <v>80</v>
      </c>
      <c r="E32" s="29">
        <v>24.15</v>
      </c>
      <c r="K32" s="5">
        <f t="shared" si="1"/>
        <v>6.2222222222222285</v>
      </c>
      <c r="L32" s="4">
        <f t="shared" si="0"/>
        <v>38.716049382716129</v>
      </c>
      <c r="M32" s="46"/>
      <c r="P32">
        <v>52</v>
      </c>
    </row>
    <row r="33" spans="1:18" x14ac:dyDescent="0.3">
      <c r="A33" s="28" t="s">
        <v>22</v>
      </c>
      <c r="B33">
        <v>18</v>
      </c>
      <c r="C33" s="19">
        <v>180</v>
      </c>
      <c r="D33">
        <v>65</v>
      </c>
      <c r="E33" s="29">
        <v>20.059999999999999</v>
      </c>
      <c r="K33" s="5">
        <f t="shared" si="1"/>
        <v>4.2222222222222285</v>
      </c>
      <c r="L33" s="4">
        <f t="shared" si="0"/>
        <v>17.827160493827215</v>
      </c>
      <c r="M33" s="46"/>
      <c r="P33">
        <v>52</v>
      </c>
    </row>
    <row r="34" spans="1:18" x14ac:dyDescent="0.3">
      <c r="A34" s="28" t="s">
        <v>22</v>
      </c>
      <c r="B34">
        <v>18</v>
      </c>
      <c r="C34" s="19">
        <v>178</v>
      </c>
      <c r="D34">
        <v>50</v>
      </c>
      <c r="E34" s="29">
        <v>15.78</v>
      </c>
      <c r="K34" s="5">
        <f t="shared" si="1"/>
        <v>2.2222222222222285</v>
      </c>
      <c r="L34" s="4">
        <f t="shared" si="0"/>
        <v>4.9382716049382998</v>
      </c>
      <c r="M34" s="46"/>
      <c r="P34">
        <v>50</v>
      </c>
    </row>
    <row r="35" spans="1:18" x14ac:dyDescent="0.3">
      <c r="A35" s="28" t="s">
        <v>22</v>
      </c>
      <c r="B35">
        <v>19</v>
      </c>
      <c r="C35" s="19">
        <v>180</v>
      </c>
      <c r="D35">
        <v>65</v>
      </c>
      <c r="E35" s="29">
        <v>20.059999999999999</v>
      </c>
      <c r="K35" s="5">
        <f t="shared" si="1"/>
        <v>4.2222222222222285</v>
      </c>
      <c r="L35" s="4">
        <f t="shared" si="0"/>
        <v>17.827160493827215</v>
      </c>
      <c r="M35" s="46"/>
      <c r="P35">
        <v>50</v>
      </c>
    </row>
    <row r="36" spans="1:18" x14ac:dyDescent="0.3">
      <c r="A36" s="28" t="s">
        <v>22</v>
      </c>
      <c r="B36">
        <v>18</v>
      </c>
      <c r="C36" s="19">
        <v>172</v>
      </c>
      <c r="D36">
        <v>68</v>
      </c>
      <c r="E36" s="29">
        <v>22.99</v>
      </c>
      <c r="K36" s="5">
        <f t="shared" si="1"/>
        <v>-3.7777777777777715</v>
      </c>
      <c r="L36" s="4">
        <f t="shared" si="0"/>
        <v>14.271604938271556</v>
      </c>
      <c r="M36" s="46"/>
      <c r="P36">
        <v>50</v>
      </c>
    </row>
    <row r="37" spans="1:18" ht="15" thickBot="1" x14ac:dyDescent="0.35">
      <c r="A37" s="30" t="s">
        <v>22</v>
      </c>
      <c r="B37" s="31">
        <v>20</v>
      </c>
      <c r="C37" s="32">
        <v>182</v>
      </c>
      <c r="D37" s="31">
        <v>100</v>
      </c>
      <c r="E37" s="33">
        <v>30.19</v>
      </c>
      <c r="K37" s="5">
        <f t="shared" si="1"/>
        <v>6.2222222222222285</v>
      </c>
      <c r="L37" s="4">
        <f t="shared" si="0"/>
        <v>38.716049382716129</v>
      </c>
      <c r="M37" s="46"/>
      <c r="P37" s="31">
        <v>47</v>
      </c>
    </row>
    <row r="38" spans="1:18" ht="15" thickBot="1" x14ac:dyDescent="0.35">
      <c r="K38" s="6" t="s">
        <v>38</v>
      </c>
      <c r="L38" s="7">
        <f>SUM(L2:L37)</f>
        <v>3332.2222222222217</v>
      </c>
      <c r="M38" s="47">
        <f>L38/G4</f>
        <v>92.561728395061721</v>
      </c>
      <c r="Q38" s="12"/>
      <c r="R38" s="12"/>
    </row>
    <row r="39" spans="1:18" x14ac:dyDescent="0.3">
      <c r="M39">
        <f>SQRT(M38)</f>
        <v>9.6209006020778389</v>
      </c>
    </row>
  </sheetData>
  <sortState xmlns:xlrd2="http://schemas.microsoft.com/office/spreadsheetml/2017/richdata2" ref="P2:P37">
    <sortCondition descending="1" ref="P2:P37"/>
  </sortState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A4E28-26F2-4AD7-8970-744D72F57BB7}">
  <dimension ref="A1:O21"/>
  <sheetViews>
    <sheetView topLeftCell="D1" zoomScale="160" zoomScaleNormal="160" workbookViewId="0">
      <selection activeCell="H6" sqref="H6:O11"/>
      <pivotSelection pane="bottomRight" showHeader="1" activeRow="5" activeCol="7" previousRow="5" previousCol="7" click="1" r:id="rId1">
        <pivotArea type="all" dataOnly="0" outline="0" fieldPosition="0"/>
      </pivotSelection>
    </sheetView>
  </sheetViews>
  <sheetFormatPr defaultRowHeight="14.4" x14ac:dyDescent="0.3"/>
  <cols>
    <col min="1" max="1" width="14.88671875" customWidth="1"/>
    <col min="2" max="2" width="10.33203125" bestFit="1" customWidth="1"/>
    <col min="8" max="8" width="13.109375" bestFit="1" customWidth="1"/>
    <col min="9" max="14" width="10.6640625" bestFit="1" customWidth="1"/>
    <col min="15" max="15" width="10.5546875" bestFit="1" customWidth="1"/>
  </cols>
  <sheetData>
    <row r="1" spans="1:15" ht="15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15" x14ac:dyDescent="0.3">
      <c r="A2" s="9">
        <v>41708</v>
      </c>
      <c r="B2" t="s">
        <v>6</v>
      </c>
      <c r="C2" t="s">
        <v>12</v>
      </c>
      <c r="D2">
        <v>30</v>
      </c>
      <c r="E2">
        <v>20</v>
      </c>
      <c r="F2" s="34">
        <f>D2*E2</f>
        <v>600</v>
      </c>
    </row>
    <row r="3" spans="1:15" x14ac:dyDescent="0.3">
      <c r="A3" s="9">
        <v>41708</v>
      </c>
      <c r="B3" t="s">
        <v>7</v>
      </c>
      <c r="C3" t="s">
        <v>13</v>
      </c>
      <c r="D3">
        <v>26</v>
      </c>
      <c r="E3">
        <v>15</v>
      </c>
      <c r="F3" s="34">
        <f t="shared" ref="F3:F15" si="0">D3*E3</f>
        <v>390</v>
      </c>
    </row>
    <row r="4" spans="1:15" x14ac:dyDescent="0.3">
      <c r="A4" s="9">
        <v>41708</v>
      </c>
      <c r="B4" t="s">
        <v>8</v>
      </c>
      <c r="C4" t="s">
        <v>12</v>
      </c>
      <c r="D4">
        <v>70</v>
      </c>
      <c r="E4">
        <v>30</v>
      </c>
      <c r="F4" s="34">
        <f t="shared" si="0"/>
        <v>2100</v>
      </c>
    </row>
    <row r="5" spans="1:15" x14ac:dyDescent="0.3">
      <c r="A5" s="9">
        <v>41709</v>
      </c>
      <c r="B5" t="s">
        <v>9</v>
      </c>
      <c r="C5" t="s">
        <v>14</v>
      </c>
      <c r="D5">
        <v>14</v>
      </c>
      <c r="E5">
        <v>40</v>
      </c>
      <c r="F5" s="34">
        <f t="shared" si="0"/>
        <v>560</v>
      </c>
    </row>
    <row r="6" spans="1:15" x14ac:dyDescent="0.3">
      <c r="A6" s="9">
        <v>41709</v>
      </c>
      <c r="B6" t="s">
        <v>10</v>
      </c>
      <c r="C6" t="s">
        <v>13</v>
      </c>
      <c r="D6">
        <v>16</v>
      </c>
      <c r="E6">
        <v>50</v>
      </c>
      <c r="F6" s="34">
        <f t="shared" si="0"/>
        <v>800</v>
      </c>
      <c r="H6" s="53" t="s">
        <v>51</v>
      </c>
      <c r="I6" s="53" t="s">
        <v>1</v>
      </c>
      <c r="J6" s="51"/>
      <c r="K6" s="51"/>
      <c r="L6" s="51"/>
      <c r="M6" s="51"/>
      <c r="N6" s="51"/>
      <c r="O6" s="52"/>
    </row>
    <row r="7" spans="1:15" x14ac:dyDescent="0.3">
      <c r="A7" s="9">
        <v>41710</v>
      </c>
      <c r="B7" t="s">
        <v>11</v>
      </c>
      <c r="C7" t="s">
        <v>12</v>
      </c>
      <c r="D7">
        <v>50</v>
      </c>
      <c r="E7">
        <v>10</v>
      </c>
      <c r="F7" s="34">
        <f t="shared" si="0"/>
        <v>500</v>
      </c>
      <c r="H7" s="53" t="s">
        <v>2</v>
      </c>
      <c r="I7" s="50" t="s">
        <v>7</v>
      </c>
      <c r="J7" s="57" t="s">
        <v>10</v>
      </c>
      <c r="K7" s="57" t="s">
        <v>11</v>
      </c>
      <c r="L7" s="57" t="s">
        <v>8</v>
      </c>
      <c r="M7" s="57" t="s">
        <v>9</v>
      </c>
      <c r="N7" s="57" t="s">
        <v>6</v>
      </c>
      <c r="O7" s="54" t="s">
        <v>52</v>
      </c>
    </row>
    <row r="8" spans="1:15" x14ac:dyDescent="0.3">
      <c r="A8" s="9">
        <v>41710</v>
      </c>
      <c r="B8" t="s">
        <v>9</v>
      </c>
      <c r="C8" t="s">
        <v>14</v>
      </c>
      <c r="D8">
        <v>22</v>
      </c>
      <c r="E8">
        <v>20</v>
      </c>
      <c r="F8" s="34">
        <f t="shared" si="0"/>
        <v>440</v>
      </c>
      <c r="H8" s="50" t="s">
        <v>12</v>
      </c>
      <c r="I8" s="50">
        <v>600</v>
      </c>
      <c r="J8" s="57"/>
      <c r="K8" s="57">
        <v>500</v>
      </c>
      <c r="L8" s="57">
        <v>3780</v>
      </c>
      <c r="M8" s="57"/>
      <c r="N8" s="57">
        <v>600</v>
      </c>
      <c r="O8" s="54">
        <v>5480</v>
      </c>
    </row>
    <row r="9" spans="1:15" x14ac:dyDescent="0.3">
      <c r="A9" s="9">
        <v>41710</v>
      </c>
      <c r="B9" t="s">
        <v>8</v>
      </c>
      <c r="C9" t="s">
        <v>12</v>
      </c>
      <c r="D9">
        <v>28</v>
      </c>
      <c r="E9">
        <v>60</v>
      </c>
      <c r="F9" s="34">
        <f t="shared" si="0"/>
        <v>1680</v>
      </c>
      <c r="H9" s="59" t="s">
        <v>13</v>
      </c>
      <c r="I9" s="59">
        <v>390</v>
      </c>
      <c r="J9">
        <v>800</v>
      </c>
      <c r="K9">
        <v>800</v>
      </c>
      <c r="L9">
        <v>2025</v>
      </c>
      <c r="O9" s="60">
        <v>4015</v>
      </c>
    </row>
    <row r="10" spans="1:15" x14ac:dyDescent="0.3">
      <c r="A10" s="9">
        <v>41711</v>
      </c>
      <c r="B10" t="s">
        <v>6</v>
      </c>
      <c r="C10" t="s">
        <v>14</v>
      </c>
      <c r="D10">
        <v>12</v>
      </c>
      <c r="E10">
        <v>10</v>
      </c>
      <c r="F10" s="34">
        <f t="shared" si="0"/>
        <v>120</v>
      </c>
      <c r="H10" s="59" t="s">
        <v>14</v>
      </c>
      <c r="I10" s="59">
        <v>1650</v>
      </c>
      <c r="M10">
        <v>1000</v>
      </c>
      <c r="N10">
        <v>380</v>
      </c>
      <c r="O10" s="60">
        <v>3030</v>
      </c>
    </row>
    <row r="11" spans="1:15" x14ac:dyDescent="0.3">
      <c r="A11" s="9">
        <v>41711</v>
      </c>
      <c r="B11" t="s">
        <v>6</v>
      </c>
      <c r="C11" t="s">
        <v>14</v>
      </c>
      <c r="D11">
        <v>26</v>
      </c>
      <c r="E11">
        <v>10</v>
      </c>
      <c r="F11" s="34">
        <f t="shared" si="0"/>
        <v>260</v>
      </c>
      <c r="H11" s="55" t="s">
        <v>52</v>
      </c>
      <c r="I11" s="55">
        <v>2640</v>
      </c>
      <c r="J11" s="58">
        <v>800</v>
      </c>
      <c r="K11" s="58">
        <v>1300</v>
      </c>
      <c r="L11" s="58">
        <v>5805</v>
      </c>
      <c r="M11" s="58">
        <v>1000</v>
      </c>
      <c r="N11" s="58">
        <v>980</v>
      </c>
      <c r="O11" s="56">
        <v>12525</v>
      </c>
    </row>
    <row r="12" spans="1:15" x14ac:dyDescent="0.3">
      <c r="A12" s="9">
        <v>41711</v>
      </c>
      <c r="B12" t="s">
        <v>7</v>
      </c>
      <c r="C12" t="s">
        <v>12</v>
      </c>
      <c r="D12">
        <v>30</v>
      </c>
      <c r="E12">
        <v>20</v>
      </c>
      <c r="F12" s="34">
        <f t="shared" si="0"/>
        <v>600</v>
      </c>
    </row>
    <row r="13" spans="1:15" x14ac:dyDescent="0.3">
      <c r="A13" s="9">
        <v>41712</v>
      </c>
      <c r="B13" t="s">
        <v>7</v>
      </c>
      <c r="C13" t="s">
        <v>14</v>
      </c>
      <c r="D13">
        <v>55</v>
      </c>
      <c r="E13">
        <v>30</v>
      </c>
      <c r="F13" s="34">
        <f t="shared" si="0"/>
        <v>1650</v>
      </c>
    </row>
    <row r="14" spans="1:15" x14ac:dyDescent="0.3">
      <c r="A14" s="9">
        <v>41712</v>
      </c>
      <c r="B14" t="s">
        <v>8</v>
      </c>
      <c r="C14" t="s">
        <v>13</v>
      </c>
      <c r="D14">
        <v>45</v>
      </c>
      <c r="E14">
        <v>45</v>
      </c>
      <c r="F14" s="34">
        <f t="shared" si="0"/>
        <v>2025</v>
      </c>
    </row>
    <row r="15" spans="1:15" x14ac:dyDescent="0.3">
      <c r="A15" s="10">
        <v>41712</v>
      </c>
      <c r="B15" s="8" t="s">
        <v>11</v>
      </c>
      <c r="C15" s="8" t="s">
        <v>13</v>
      </c>
      <c r="D15" s="8">
        <v>32</v>
      </c>
      <c r="E15" s="8">
        <v>25</v>
      </c>
      <c r="F15" s="34">
        <f t="shared" si="0"/>
        <v>800</v>
      </c>
    </row>
    <row r="20" spans="8:8" x14ac:dyDescent="0.3">
      <c r="H20" s="11"/>
    </row>
    <row r="21" spans="8:8" x14ac:dyDescent="0.3">
      <c r="H21" s="11"/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526D-0170-420B-8049-D1711077D265}">
  <dimension ref="A1:F34"/>
  <sheetViews>
    <sheetView topLeftCell="A11" workbookViewId="0">
      <selection activeCell="N24" sqref="N24"/>
    </sheetView>
  </sheetViews>
  <sheetFormatPr defaultRowHeight="14.4" x14ac:dyDescent="0.3"/>
  <cols>
    <col min="4" max="4" width="24.77734375" customWidth="1"/>
    <col min="5" max="5" width="29.109375" customWidth="1"/>
    <col min="6" max="6" width="23.33203125" customWidth="1"/>
  </cols>
  <sheetData>
    <row r="1" spans="1:5" s="40" customFormat="1" ht="25.8" x14ac:dyDescent="0.5">
      <c r="A1" s="40" t="s">
        <v>47</v>
      </c>
    </row>
    <row r="4" spans="1:5" x14ac:dyDescent="0.3">
      <c r="B4" s="61"/>
    </row>
    <row r="5" spans="1:5" x14ac:dyDescent="0.3">
      <c r="A5" s="61"/>
    </row>
    <row r="6" spans="1:5" x14ac:dyDescent="0.3">
      <c r="A6" s="61"/>
      <c r="C6" t="s">
        <v>53</v>
      </c>
      <c r="D6" t="s">
        <v>54</v>
      </c>
      <c r="E6" s="61"/>
    </row>
    <row r="7" spans="1:5" x14ac:dyDescent="0.3">
      <c r="C7" s="62">
        <v>1996</v>
      </c>
      <c r="D7" s="61">
        <v>5096</v>
      </c>
    </row>
    <row r="8" spans="1:5" x14ac:dyDescent="0.3">
      <c r="C8" s="62">
        <v>1997</v>
      </c>
      <c r="D8" s="61">
        <v>5044</v>
      </c>
    </row>
    <row r="9" spans="1:5" x14ac:dyDescent="0.3">
      <c r="C9" s="62">
        <v>1998</v>
      </c>
      <c r="D9" s="61">
        <v>4923</v>
      </c>
    </row>
    <row r="10" spans="1:5" x14ac:dyDescent="0.3">
      <c r="C10" s="62">
        <v>1999</v>
      </c>
      <c r="D10" s="61">
        <v>4746</v>
      </c>
    </row>
    <row r="11" spans="1:5" x14ac:dyDescent="0.3">
      <c r="C11" s="62">
        <v>2000</v>
      </c>
      <c r="D11" s="61">
        <v>4911</v>
      </c>
    </row>
    <row r="12" spans="1:5" x14ac:dyDescent="0.3">
      <c r="C12" s="62">
        <v>2001</v>
      </c>
      <c r="D12" s="61">
        <v>4628</v>
      </c>
    </row>
    <row r="13" spans="1:5" x14ac:dyDescent="0.3">
      <c r="C13" s="62">
        <v>2002</v>
      </c>
      <c r="D13" s="61">
        <v>4575</v>
      </c>
    </row>
    <row r="14" spans="1:5" x14ac:dyDescent="0.3">
      <c r="C14" s="62">
        <v>2003</v>
      </c>
      <c r="D14" s="61">
        <v>5121</v>
      </c>
    </row>
    <row r="15" spans="1:5" x14ac:dyDescent="0.3">
      <c r="C15" s="62">
        <v>2004</v>
      </c>
      <c r="D15" s="61">
        <v>5460</v>
      </c>
    </row>
    <row r="16" spans="1:5" x14ac:dyDescent="0.3">
      <c r="C16" s="62">
        <v>2005</v>
      </c>
      <c r="D16" s="61">
        <v>5888</v>
      </c>
    </row>
    <row r="17" spans="3:6" x14ac:dyDescent="0.3">
      <c r="C17" s="62">
        <v>2006</v>
      </c>
      <c r="D17" s="61">
        <v>5932</v>
      </c>
    </row>
    <row r="18" spans="3:6" x14ac:dyDescent="0.3">
      <c r="C18" s="62">
        <v>2007</v>
      </c>
      <c r="D18" s="61">
        <v>6342</v>
      </c>
    </row>
    <row r="19" spans="3:6" x14ac:dyDescent="0.3">
      <c r="C19" s="62">
        <v>2008</v>
      </c>
      <c r="D19" s="61">
        <v>6864</v>
      </c>
    </row>
    <row r="20" spans="3:6" x14ac:dyDescent="0.3">
      <c r="C20" s="62">
        <v>2009</v>
      </c>
      <c r="D20" s="61">
        <v>7442</v>
      </c>
    </row>
    <row r="21" spans="3:6" x14ac:dyDescent="0.3">
      <c r="C21" s="62">
        <v>2010</v>
      </c>
      <c r="D21" s="61">
        <v>7576</v>
      </c>
    </row>
    <row r="22" spans="3:6" x14ac:dyDescent="0.3">
      <c r="C22" s="62">
        <v>2011</v>
      </c>
      <c r="D22" s="61">
        <v>7804</v>
      </c>
    </row>
    <row r="23" spans="3:6" x14ac:dyDescent="0.3">
      <c r="C23" s="62">
        <v>2012</v>
      </c>
      <c r="D23" s="61">
        <v>7536</v>
      </c>
    </row>
    <row r="24" spans="3:6" x14ac:dyDescent="0.3">
      <c r="C24" s="62">
        <v>2013</v>
      </c>
      <c r="D24" s="61">
        <v>7387</v>
      </c>
    </row>
    <row r="25" spans="3:6" x14ac:dyDescent="0.3">
      <c r="C25" s="62">
        <v>2014</v>
      </c>
      <c r="D25" s="61">
        <v>7773</v>
      </c>
    </row>
    <row r="26" spans="3:6" x14ac:dyDescent="0.3">
      <c r="C26" s="62">
        <v>2015</v>
      </c>
      <c r="D26" s="61">
        <v>7918</v>
      </c>
    </row>
    <row r="27" spans="3:6" x14ac:dyDescent="0.3">
      <c r="C27" s="62">
        <v>2016</v>
      </c>
      <c r="D27" s="61">
        <v>8246</v>
      </c>
    </row>
    <row r="28" spans="3:6" x14ac:dyDescent="0.3">
      <c r="C28" s="62">
        <v>2017</v>
      </c>
      <c r="D28" s="61">
        <v>8449</v>
      </c>
    </row>
    <row r="29" spans="3:6" x14ac:dyDescent="0.3">
      <c r="C29" s="62">
        <v>2018</v>
      </c>
      <c r="D29" s="61">
        <v>8589</v>
      </c>
      <c r="E29" s="61"/>
      <c r="F29" s="61"/>
    </row>
    <row r="30" spans="3:6" x14ac:dyDescent="0.3">
      <c r="C30" s="62">
        <v>2019</v>
      </c>
      <c r="D30" s="61">
        <v>8195</v>
      </c>
      <c r="E30" s="61"/>
      <c r="F30" s="61"/>
    </row>
    <row r="31" spans="3:6" x14ac:dyDescent="0.3">
      <c r="C31" s="62">
        <v>2020</v>
      </c>
      <c r="D31" s="61">
        <v>8310</v>
      </c>
      <c r="E31" s="61"/>
      <c r="F31" s="61"/>
    </row>
    <row r="32" spans="3:6" x14ac:dyDescent="0.3">
      <c r="E32" s="61"/>
      <c r="F32" s="61"/>
    </row>
    <row r="33" spans="5:6" x14ac:dyDescent="0.3">
      <c r="E33" s="61"/>
      <c r="F33" s="61"/>
    </row>
    <row r="34" spans="5:6" x14ac:dyDescent="0.3">
      <c r="E34" s="61"/>
      <c r="F34" s="61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1CB21-CCDB-4434-81E9-2637050D4AB7}">
  <dimension ref="A1:X123"/>
  <sheetViews>
    <sheetView workbookViewId="0">
      <selection activeCell="C8" sqref="C8"/>
    </sheetView>
  </sheetViews>
  <sheetFormatPr defaultRowHeight="14.4" x14ac:dyDescent="0.3"/>
  <cols>
    <col min="3" max="3" width="19.77734375" customWidth="1"/>
  </cols>
  <sheetData>
    <row r="1" spans="1:24" ht="25.8" x14ac:dyDescent="0.5">
      <c r="D1" s="40"/>
      <c r="E1" s="40"/>
      <c r="F1" s="40"/>
      <c r="G1" s="40"/>
      <c r="H1" s="64"/>
      <c r="I1" s="65"/>
      <c r="J1" s="40"/>
      <c r="K1" s="40"/>
      <c r="L1" s="40"/>
      <c r="M1" s="40"/>
      <c r="N1" s="40"/>
      <c r="O1" s="40"/>
      <c r="P1" s="40"/>
      <c r="Q1" s="40"/>
      <c r="R1" s="40"/>
      <c r="S1" s="40"/>
      <c r="T1" s="40" t="s">
        <v>48</v>
      </c>
      <c r="U1" s="40"/>
      <c r="V1" s="40"/>
      <c r="W1" s="40"/>
      <c r="X1" s="40"/>
    </row>
    <row r="2" spans="1:24" x14ac:dyDescent="0.3">
      <c r="C2" s="61"/>
    </row>
    <row r="3" spans="1:24" x14ac:dyDescent="0.3">
      <c r="A3" t="s">
        <v>53</v>
      </c>
      <c r="B3" t="s">
        <v>60</v>
      </c>
      <c r="C3" s="61" t="s">
        <v>55</v>
      </c>
    </row>
    <row r="4" spans="1:24" x14ac:dyDescent="0.3">
      <c r="A4" s="62">
        <v>1995</v>
      </c>
      <c r="B4" s="61" t="s">
        <v>56</v>
      </c>
      <c r="C4" s="63">
        <v>4439.3</v>
      </c>
    </row>
    <row r="5" spans="1:24" x14ac:dyDescent="0.3">
      <c r="A5" s="62">
        <v>1995</v>
      </c>
      <c r="B5" s="61" t="s">
        <v>57</v>
      </c>
      <c r="C5" s="63">
        <v>4739.3999999999996</v>
      </c>
    </row>
    <row r="6" spans="1:24" x14ac:dyDescent="0.3">
      <c r="A6" s="62">
        <v>1995</v>
      </c>
      <c r="B6" s="61" t="s">
        <v>58</v>
      </c>
      <c r="C6" s="63">
        <v>4552.8</v>
      </c>
    </row>
    <row r="7" spans="1:24" x14ac:dyDescent="0.3">
      <c r="A7" s="62">
        <v>1995</v>
      </c>
      <c r="B7" s="61" t="s">
        <v>59</v>
      </c>
      <c r="C7" s="63">
        <v>4517.6000000000004</v>
      </c>
    </row>
    <row r="8" spans="1:24" x14ac:dyDescent="0.3">
      <c r="A8" s="62">
        <v>1996</v>
      </c>
      <c r="B8" s="61" t="s">
        <v>56</v>
      </c>
      <c r="C8" s="63">
        <v>5127.3999999999996</v>
      </c>
    </row>
    <row r="9" spans="1:24" x14ac:dyDescent="0.3">
      <c r="A9" s="62">
        <v>1996</v>
      </c>
      <c r="B9" s="61" t="s">
        <v>57</v>
      </c>
      <c r="C9" s="63">
        <v>5368.5</v>
      </c>
    </row>
    <row r="10" spans="1:24" x14ac:dyDescent="0.3">
      <c r="A10" s="62">
        <v>1996</v>
      </c>
      <c r="B10" s="61" t="s">
        <v>58</v>
      </c>
      <c r="C10" s="63">
        <v>5478.8</v>
      </c>
    </row>
    <row r="11" spans="1:24" x14ac:dyDescent="0.3">
      <c r="A11" s="62">
        <v>1996</v>
      </c>
      <c r="B11" s="61" t="s">
        <v>59</v>
      </c>
      <c r="C11" s="63">
        <v>5278.6</v>
      </c>
    </row>
    <row r="12" spans="1:24" x14ac:dyDescent="0.3">
      <c r="A12" s="62">
        <v>1997</v>
      </c>
      <c r="B12" s="61" t="s">
        <v>56</v>
      </c>
      <c r="C12" s="63">
        <v>5674.3</v>
      </c>
    </row>
    <row r="13" spans="1:24" x14ac:dyDescent="0.3">
      <c r="A13" s="62">
        <v>1997</v>
      </c>
      <c r="B13" s="61" t="s">
        <v>57</v>
      </c>
      <c r="C13" s="63">
        <v>6028.5</v>
      </c>
    </row>
    <row r="14" spans="1:24" x14ac:dyDescent="0.3">
      <c r="A14" s="62">
        <v>1997</v>
      </c>
      <c r="B14" s="61" t="s">
        <v>58</v>
      </c>
      <c r="C14" s="63">
        <v>6161.3</v>
      </c>
    </row>
    <row r="15" spans="1:24" x14ac:dyDescent="0.3">
      <c r="A15" s="62">
        <v>1997</v>
      </c>
      <c r="B15" s="61" t="s">
        <v>59</v>
      </c>
      <c r="C15" s="63">
        <v>5604.4</v>
      </c>
    </row>
    <row r="16" spans="1:24" x14ac:dyDescent="0.3">
      <c r="A16" s="62">
        <v>1998</v>
      </c>
      <c r="B16" s="61" t="s">
        <v>56</v>
      </c>
      <c r="C16" s="63">
        <v>6163.1</v>
      </c>
    </row>
    <row r="17" spans="1:3" x14ac:dyDescent="0.3">
      <c r="A17" s="62">
        <v>1998</v>
      </c>
      <c r="B17" s="61" t="s">
        <v>57</v>
      </c>
      <c r="C17" s="63">
        <v>6520.6</v>
      </c>
    </row>
    <row r="18" spans="1:3" x14ac:dyDescent="0.3">
      <c r="A18" s="62">
        <v>1998</v>
      </c>
      <c r="B18" s="61" t="s">
        <v>58</v>
      </c>
      <c r="C18" s="63">
        <v>6364.9</v>
      </c>
    </row>
    <row r="19" spans="1:3" x14ac:dyDescent="0.3">
      <c r="A19" s="62">
        <v>1998</v>
      </c>
      <c r="B19" s="61" t="s">
        <v>59</v>
      </c>
      <c r="C19" s="63">
        <v>6470.2</v>
      </c>
    </row>
    <row r="20" spans="1:3" x14ac:dyDescent="0.3">
      <c r="A20" s="62">
        <v>1999</v>
      </c>
      <c r="B20" s="61" t="s">
        <v>56</v>
      </c>
      <c r="C20" s="63">
        <v>6545.6</v>
      </c>
    </row>
    <row r="21" spans="1:3" x14ac:dyDescent="0.3">
      <c r="A21" s="62">
        <v>1999</v>
      </c>
      <c r="B21" s="61" t="s">
        <v>57</v>
      </c>
      <c r="C21" s="63">
        <v>6928.8</v>
      </c>
    </row>
    <row r="22" spans="1:3" x14ac:dyDescent="0.3">
      <c r="A22" s="62">
        <v>1999</v>
      </c>
      <c r="B22" s="61" t="s">
        <v>58</v>
      </c>
      <c r="C22" s="63">
        <v>6776.1</v>
      </c>
    </row>
    <row r="23" spans="1:3" x14ac:dyDescent="0.3">
      <c r="A23" s="62">
        <v>1999</v>
      </c>
      <c r="B23" s="61" t="s">
        <v>59</v>
      </c>
      <c r="C23" s="63">
        <v>6418.3</v>
      </c>
    </row>
    <row r="24" spans="1:3" x14ac:dyDescent="0.3">
      <c r="A24" s="62">
        <v>2000</v>
      </c>
      <c r="B24" s="61" t="s">
        <v>56</v>
      </c>
      <c r="C24" s="63">
        <v>6798.1</v>
      </c>
    </row>
    <row r="25" spans="1:3" x14ac:dyDescent="0.3">
      <c r="A25" s="62">
        <v>2000</v>
      </c>
      <c r="B25" s="61" t="s">
        <v>57</v>
      </c>
      <c r="C25" s="63">
        <v>7466.5</v>
      </c>
    </row>
    <row r="26" spans="1:3" x14ac:dyDescent="0.3">
      <c r="A26" s="62">
        <v>2000</v>
      </c>
      <c r="B26" s="61" t="s">
        <v>58</v>
      </c>
      <c r="C26" s="63">
        <v>7354.1</v>
      </c>
    </row>
    <row r="27" spans="1:3" x14ac:dyDescent="0.3">
      <c r="A27" s="62">
        <v>2000</v>
      </c>
      <c r="B27" s="61" t="s">
        <v>59</v>
      </c>
      <c r="C27" s="63">
        <v>7221.4</v>
      </c>
    </row>
    <row r="28" spans="1:3" x14ac:dyDescent="0.3">
      <c r="A28" s="62">
        <v>2001</v>
      </c>
      <c r="B28" s="61" t="s">
        <v>56</v>
      </c>
      <c r="C28" s="63">
        <v>7539.9</v>
      </c>
    </row>
    <row r="29" spans="1:3" x14ac:dyDescent="0.3">
      <c r="A29" s="62">
        <v>2001</v>
      </c>
      <c r="B29" s="61" t="s">
        <v>57</v>
      </c>
      <c r="C29" s="63">
        <v>8299</v>
      </c>
    </row>
    <row r="30" spans="1:3" x14ac:dyDescent="0.3">
      <c r="A30" s="62">
        <v>2001</v>
      </c>
      <c r="B30" s="61" t="s">
        <v>58</v>
      </c>
      <c r="C30" s="63">
        <v>8246.7999999999993</v>
      </c>
    </row>
    <row r="31" spans="1:3" x14ac:dyDescent="0.3">
      <c r="A31" s="62">
        <v>2001</v>
      </c>
      <c r="B31" s="61" t="s">
        <v>59</v>
      </c>
      <c r="C31" s="63">
        <v>8471.6</v>
      </c>
    </row>
    <row r="32" spans="1:3" x14ac:dyDescent="0.3">
      <c r="A32" s="62">
        <v>2002</v>
      </c>
      <c r="B32" s="61" t="s">
        <v>56</v>
      </c>
      <c r="C32" s="63">
        <v>8238.1</v>
      </c>
    </row>
    <row r="33" spans="1:3" x14ac:dyDescent="0.3">
      <c r="A33" s="62">
        <v>2002</v>
      </c>
      <c r="B33" s="61" t="s">
        <v>57</v>
      </c>
      <c r="C33" s="63">
        <v>8952.5</v>
      </c>
    </row>
    <row r="34" spans="1:3" x14ac:dyDescent="0.3">
      <c r="A34" s="62">
        <v>2002</v>
      </c>
      <c r="B34" s="61" t="s">
        <v>58</v>
      </c>
      <c r="C34" s="63">
        <v>9365.4</v>
      </c>
    </row>
    <row r="35" spans="1:3" x14ac:dyDescent="0.3">
      <c r="A35" s="62">
        <v>2002</v>
      </c>
      <c r="B35" s="61" t="s">
        <v>59</v>
      </c>
      <c r="C35" s="63">
        <v>9266.7999999999993</v>
      </c>
    </row>
    <row r="36" spans="1:3" x14ac:dyDescent="0.3">
      <c r="A36" s="62">
        <v>2003</v>
      </c>
      <c r="B36" s="61" t="s">
        <v>56</v>
      </c>
      <c r="C36" s="63">
        <v>9043</v>
      </c>
    </row>
    <row r="37" spans="1:3" x14ac:dyDescent="0.3">
      <c r="A37" s="62">
        <v>2003</v>
      </c>
      <c r="B37" s="61" t="s">
        <v>57</v>
      </c>
      <c r="C37" s="63">
        <v>9826.6</v>
      </c>
    </row>
    <row r="38" spans="1:3" x14ac:dyDescent="0.3">
      <c r="A38" s="62">
        <v>2003</v>
      </c>
      <c r="B38" s="61" t="s">
        <v>58</v>
      </c>
      <c r="C38" s="63">
        <v>10096.799999999999</v>
      </c>
    </row>
    <row r="39" spans="1:3" x14ac:dyDescent="0.3">
      <c r="A39" s="62">
        <v>2003</v>
      </c>
      <c r="B39" s="61" t="s">
        <v>59</v>
      </c>
      <c r="C39" s="63">
        <v>10116.1</v>
      </c>
    </row>
    <row r="40" spans="1:3" x14ac:dyDescent="0.3">
      <c r="A40" s="62">
        <v>2004</v>
      </c>
      <c r="B40" s="61" t="s">
        <v>56</v>
      </c>
      <c r="C40" s="63">
        <v>9989.5</v>
      </c>
    </row>
    <row r="41" spans="1:3" x14ac:dyDescent="0.3">
      <c r="A41" s="62">
        <v>2004</v>
      </c>
      <c r="B41" s="61" t="s">
        <v>57</v>
      </c>
      <c r="C41" s="63">
        <v>10683.5</v>
      </c>
    </row>
    <row r="42" spans="1:3" x14ac:dyDescent="0.3">
      <c r="A42" s="62">
        <v>2004</v>
      </c>
      <c r="B42" s="61" t="s">
        <v>58</v>
      </c>
      <c r="C42" s="63">
        <v>11475.1</v>
      </c>
    </row>
    <row r="43" spans="1:3" x14ac:dyDescent="0.3">
      <c r="A43" s="62">
        <v>2004</v>
      </c>
      <c r="B43" s="61" t="s">
        <v>59</v>
      </c>
      <c r="C43" s="63">
        <v>11284</v>
      </c>
    </row>
    <row r="44" spans="1:3" x14ac:dyDescent="0.3">
      <c r="A44" s="62">
        <v>2005</v>
      </c>
      <c r="B44" s="61" t="s">
        <v>56</v>
      </c>
      <c r="C44" s="63">
        <v>11074</v>
      </c>
    </row>
    <row r="45" spans="1:3" x14ac:dyDescent="0.3">
      <c r="A45" s="62">
        <v>2005</v>
      </c>
      <c r="B45" s="61" t="s">
        <v>57</v>
      </c>
      <c r="C45" s="63">
        <v>12296.1</v>
      </c>
    </row>
    <row r="46" spans="1:3" x14ac:dyDescent="0.3">
      <c r="A46" s="62">
        <v>2005</v>
      </c>
      <c r="B46" s="61" t="s">
        <v>58</v>
      </c>
      <c r="C46" s="63">
        <v>13012.3</v>
      </c>
    </row>
    <row r="47" spans="1:3" x14ac:dyDescent="0.3">
      <c r="A47" s="62">
        <v>2005</v>
      </c>
      <c r="B47" s="61" t="s">
        <v>59</v>
      </c>
      <c r="C47" s="63">
        <v>12597.1</v>
      </c>
    </row>
    <row r="48" spans="1:3" x14ac:dyDescent="0.3">
      <c r="A48" s="62">
        <v>2006</v>
      </c>
      <c r="B48" s="61" t="s">
        <v>56</v>
      </c>
      <c r="C48" s="63">
        <v>12273</v>
      </c>
    </row>
    <row r="49" spans="1:3" x14ac:dyDescent="0.3">
      <c r="A49" s="62">
        <v>2006</v>
      </c>
      <c r="B49" s="61" t="s">
        <v>57</v>
      </c>
      <c r="C49" s="63">
        <v>13744.5</v>
      </c>
    </row>
    <row r="50" spans="1:3" x14ac:dyDescent="0.3">
      <c r="A50" s="62">
        <v>2006</v>
      </c>
      <c r="B50" s="61" t="s">
        <v>58</v>
      </c>
      <c r="C50" s="63">
        <v>14489</v>
      </c>
    </row>
    <row r="51" spans="1:3" x14ac:dyDescent="0.3">
      <c r="A51" s="62">
        <v>2006</v>
      </c>
      <c r="B51" s="61" t="s">
        <v>59</v>
      </c>
      <c r="C51" s="63">
        <v>14256.8</v>
      </c>
    </row>
    <row r="52" spans="1:3" x14ac:dyDescent="0.3">
      <c r="A52" s="62">
        <v>2007</v>
      </c>
      <c r="B52" s="61" t="s">
        <v>56</v>
      </c>
      <c r="C52" s="63">
        <v>13814.2</v>
      </c>
    </row>
    <row r="53" spans="1:3" x14ac:dyDescent="0.3">
      <c r="A53" s="62">
        <v>2007</v>
      </c>
      <c r="B53" s="61" t="s">
        <v>57</v>
      </c>
      <c r="C53" s="63">
        <v>15407.8</v>
      </c>
    </row>
    <row r="54" spans="1:3" x14ac:dyDescent="0.3">
      <c r="A54" s="62">
        <v>2007</v>
      </c>
      <c r="B54" s="61" t="s">
        <v>58</v>
      </c>
      <c r="C54" s="63">
        <v>16555.900000000001</v>
      </c>
    </row>
    <row r="55" spans="1:3" x14ac:dyDescent="0.3">
      <c r="A55" s="62">
        <v>2007</v>
      </c>
      <c r="B55" s="61" t="s">
        <v>59</v>
      </c>
      <c r="C55" s="63">
        <v>16667.400000000001</v>
      </c>
    </row>
    <row r="56" spans="1:3" x14ac:dyDescent="0.3">
      <c r="A56" s="62">
        <v>2008</v>
      </c>
      <c r="B56" s="61" t="s">
        <v>56</v>
      </c>
      <c r="C56" s="63">
        <v>15235.9</v>
      </c>
    </row>
    <row r="57" spans="1:3" x14ac:dyDescent="0.3">
      <c r="A57" s="62">
        <v>2008</v>
      </c>
      <c r="B57" s="61" t="s">
        <v>57</v>
      </c>
      <c r="C57" s="63">
        <v>16572.7</v>
      </c>
    </row>
    <row r="58" spans="1:3" x14ac:dyDescent="0.3">
      <c r="A58" s="62">
        <v>2008</v>
      </c>
      <c r="B58" s="61" t="s">
        <v>58</v>
      </c>
      <c r="C58" s="63">
        <v>17739.5</v>
      </c>
    </row>
    <row r="59" spans="1:3" x14ac:dyDescent="0.3">
      <c r="A59" s="62">
        <v>2008</v>
      </c>
      <c r="B59" s="61" t="s">
        <v>59</v>
      </c>
      <c r="C59" s="63">
        <v>17021.2</v>
      </c>
    </row>
    <row r="60" spans="1:3" x14ac:dyDescent="0.3">
      <c r="A60" s="62">
        <v>2009</v>
      </c>
      <c r="B60" s="61" t="s">
        <v>56</v>
      </c>
      <c r="C60" s="63">
        <v>14776</v>
      </c>
    </row>
    <row r="61" spans="1:3" x14ac:dyDescent="0.3">
      <c r="A61" s="62">
        <v>2009</v>
      </c>
      <c r="B61" s="61" t="s">
        <v>57</v>
      </c>
      <c r="C61" s="63">
        <v>16030.3</v>
      </c>
    </row>
    <row r="62" spans="1:3" x14ac:dyDescent="0.3">
      <c r="A62" s="62">
        <v>2009</v>
      </c>
      <c r="B62" s="61" t="s">
        <v>58</v>
      </c>
      <c r="C62" s="63">
        <v>17177</v>
      </c>
    </row>
    <row r="63" spans="1:3" x14ac:dyDescent="0.3">
      <c r="A63" s="62">
        <v>2009</v>
      </c>
      <c r="B63" s="61" t="s">
        <v>59</v>
      </c>
      <c r="C63" s="63">
        <v>16799.099999999999</v>
      </c>
    </row>
    <row r="64" spans="1:3" x14ac:dyDescent="0.3">
      <c r="A64" s="62">
        <v>2010</v>
      </c>
      <c r="B64" s="61" t="s">
        <v>56</v>
      </c>
      <c r="C64" s="63">
        <v>15718.1</v>
      </c>
    </row>
    <row r="65" spans="1:3" x14ac:dyDescent="0.3">
      <c r="A65" s="62">
        <v>2010</v>
      </c>
      <c r="B65" s="61" t="s">
        <v>57</v>
      </c>
      <c r="C65" s="63">
        <v>16957.5</v>
      </c>
    </row>
    <row r="66" spans="1:3" x14ac:dyDescent="0.3">
      <c r="A66" s="62">
        <v>2010</v>
      </c>
      <c r="B66" s="61" t="s">
        <v>58</v>
      </c>
      <c r="C66" s="63">
        <v>18092.7</v>
      </c>
    </row>
    <row r="67" spans="1:3" x14ac:dyDescent="0.3">
      <c r="A67" s="62">
        <v>2010</v>
      </c>
      <c r="B67" s="61" t="s">
        <v>59</v>
      </c>
      <c r="C67" s="63">
        <v>17636.5</v>
      </c>
    </row>
    <row r="68" spans="1:3" x14ac:dyDescent="0.3">
      <c r="A68" s="62">
        <v>2011</v>
      </c>
      <c r="B68" s="61" t="s">
        <v>56</v>
      </c>
      <c r="C68" s="63">
        <v>16180.2</v>
      </c>
    </row>
    <row r="69" spans="1:3" x14ac:dyDescent="0.3">
      <c r="A69" s="62">
        <v>2011</v>
      </c>
      <c r="B69" s="61" t="s">
        <v>57</v>
      </c>
      <c r="C69" s="63">
        <v>17524</v>
      </c>
    </row>
    <row r="70" spans="1:3" x14ac:dyDescent="0.3">
      <c r="A70" s="62">
        <v>2011</v>
      </c>
      <c r="B70" s="61" t="s">
        <v>58</v>
      </c>
      <c r="C70" s="63">
        <v>18547.7</v>
      </c>
    </row>
    <row r="71" spans="1:3" x14ac:dyDescent="0.3">
      <c r="A71" s="62">
        <v>2011</v>
      </c>
      <c r="B71" s="61" t="s">
        <v>59</v>
      </c>
      <c r="C71" s="63">
        <v>18235.8</v>
      </c>
    </row>
    <row r="72" spans="1:3" x14ac:dyDescent="0.3">
      <c r="A72" s="62">
        <v>2012</v>
      </c>
      <c r="B72" s="61" t="s">
        <v>56</v>
      </c>
      <c r="C72" s="63">
        <v>16844.2</v>
      </c>
    </row>
    <row r="73" spans="1:3" x14ac:dyDescent="0.3">
      <c r="A73" s="62">
        <v>2012</v>
      </c>
      <c r="B73" s="61" t="s">
        <v>57</v>
      </c>
      <c r="C73" s="63">
        <v>18163</v>
      </c>
    </row>
    <row r="74" spans="1:3" x14ac:dyDescent="0.3">
      <c r="A74" s="62">
        <v>2012</v>
      </c>
      <c r="B74" s="61" t="s">
        <v>58</v>
      </c>
      <c r="C74" s="63">
        <v>19165.400000000001</v>
      </c>
    </row>
    <row r="75" spans="1:3" x14ac:dyDescent="0.3">
      <c r="A75" s="62">
        <v>2012</v>
      </c>
      <c r="B75" s="61" t="s">
        <v>59</v>
      </c>
      <c r="C75" s="63">
        <v>18580.900000000001</v>
      </c>
    </row>
    <row r="76" spans="1:3" x14ac:dyDescent="0.3">
      <c r="A76" s="62">
        <v>2013</v>
      </c>
      <c r="B76" s="61" t="s">
        <v>56</v>
      </c>
      <c r="C76" s="63">
        <v>17118.2</v>
      </c>
    </row>
    <row r="77" spans="1:3" x14ac:dyDescent="0.3">
      <c r="A77" s="62">
        <v>2013</v>
      </c>
      <c r="B77" s="61" t="s">
        <v>57</v>
      </c>
      <c r="C77" s="63">
        <v>18491.900000000001</v>
      </c>
    </row>
    <row r="78" spans="1:3" x14ac:dyDescent="0.3">
      <c r="A78" s="62">
        <v>2013</v>
      </c>
      <c r="B78" s="61" t="s">
        <v>58</v>
      </c>
      <c r="C78" s="63">
        <v>19564.2</v>
      </c>
    </row>
    <row r="79" spans="1:3" x14ac:dyDescent="0.3">
      <c r="A79" s="62">
        <v>2013</v>
      </c>
      <c r="B79" s="61" t="s">
        <v>59</v>
      </c>
      <c r="C79" s="63">
        <v>19071.900000000001</v>
      </c>
    </row>
    <row r="80" spans="1:3" x14ac:dyDescent="0.3">
      <c r="A80" s="62">
        <v>2014</v>
      </c>
      <c r="B80" s="61" t="s">
        <v>56</v>
      </c>
      <c r="C80" s="63">
        <v>17658</v>
      </c>
    </row>
    <row r="81" spans="1:3" x14ac:dyDescent="0.3">
      <c r="A81" s="62">
        <v>2014</v>
      </c>
      <c r="B81" s="61" t="s">
        <v>57</v>
      </c>
      <c r="C81" s="63">
        <v>19083.099999999999</v>
      </c>
    </row>
    <row r="82" spans="1:3" x14ac:dyDescent="0.3">
      <c r="A82" s="62">
        <v>2014</v>
      </c>
      <c r="B82" s="61" t="s">
        <v>58</v>
      </c>
      <c r="C82" s="63">
        <v>20190.3</v>
      </c>
    </row>
    <row r="83" spans="1:3" x14ac:dyDescent="0.3">
      <c r="A83" s="62">
        <v>2014</v>
      </c>
      <c r="B83" s="61" t="s">
        <v>59</v>
      </c>
      <c r="C83" s="63">
        <v>19732.5</v>
      </c>
    </row>
    <row r="84" spans="1:3" x14ac:dyDescent="0.3">
      <c r="A84" s="62">
        <v>2015</v>
      </c>
      <c r="B84" s="61" t="s">
        <v>56</v>
      </c>
      <c r="C84" s="63">
        <v>18441.8</v>
      </c>
    </row>
    <row r="85" spans="1:3" x14ac:dyDescent="0.3">
      <c r="A85" s="62">
        <v>2015</v>
      </c>
      <c r="B85" s="61" t="s">
        <v>57</v>
      </c>
      <c r="C85" s="63">
        <v>20011.2</v>
      </c>
    </row>
    <row r="86" spans="1:3" x14ac:dyDescent="0.3">
      <c r="A86" s="62">
        <v>2015</v>
      </c>
      <c r="B86" s="61" t="s">
        <v>58</v>
      </c>
      <c r="C86" s="63">
        <v>21205.8</v>
      </c>
    </row>
    <row r="87" spans="1:3" x14ac:dyDescent="0.3">
      <c r="A87" s="62">
        <v>2015</v>
      </c>
      <c r="B87" s="61" t="s">
        <v>59</v>
      </c>
      <c r="C87" s="63">
        <v>20867.099999999999</v>
      </c>
    </row>
    <row r="88" spans="1:3" x14ac:dyDescent="0.3">
      <c r="A88" s="62">
        <v>2016</v>
      </c>
      <c r="B88" s="61" t="s">
        <v>56</v>
      </c>
      <c r="C88" s="63">
        <v>18895.5</v>
      </c>
    </row>
    <row r="89" spans="1:3" x14ac:dyDescent="0.3">
      <c r="A89" s="62">
        <v>2016</v>
      </c>
      <c r="B89" s="61" t="s">
        <v>57</v>
      </c>
      <c r="C89" s="63">
        <v>20469.8</v>
      </c>
    </row>
    <row r="90" spans="1:3" x14ac:dyDescent="0.3">
      <c r="A90" s="62">
        <v>2016</v>
      </c>
      <c r="B90" s="61" t="s">
        <v>58</v>
      </c>
      <c r="C90" s="63">
        <v>21410.3</v>
      </c>
    </row>
    <row r="91" spans="1:3" x14ac:dyDescent="0.3">
      <c r="A91" s="62">
        <v>2016</v>
      </c>
      <c r="B91" s="61" t="s">
        <v>59</v>
      </c>
      <c r="C91" s="63">
        <v>21166.2</v>
      </c>
    </row>
    <row r="92" spans="1:3" x14ac:dyDescent="0.3">
      <c r="A92" s="62">
        <v>2017</v>
      </c>
      <c r="B92" s="61" t="s">
        <v>56</v>
      </c>
      <c r="C92" s="63">
        <v>19181.2</v>
      </c>
    </row>
    <row r="93" spans="1:3" x14ac:dyDescent="0.3">
      <c r="A93" s="62">
        <v>2017</v>
      </c>
      <c r="B93" s="61" t="s">
        <v>57</v>
      </c>
      <c r="C93" s="63">
        <v>21030.7</v>
      </c>
    </row>
    <row r="94" spans="1:3" x14ac:dyDescent="0.3">
      <c r="A94" s="62">
        <v>2017</v>
      </c>
      <c r="B94" s="61" t="s">
        <v>58</v>
      </c>
      <c r="C94" s="63">
        <v>21932.7</v>
      </c>
    </row>
    <row r="95" spans="1:3" x14ac:dyDescent="0.3">
      <c r="A95" s="62">
        <v>2017</v>
      </c>
      <c r="B95" s="61" t="s">
        <v>59</v>
      </c>
      <c r="C95" s="63">
        <v>21823.4</v>
      </c>
    </row>
    <row r="96" spans="1:3" x14ac:dyDescent="0.3">
      <c r="A96" s="62">
        <v>2018</v>
      </c>
      <c r="B96" s="61" t="s">
        <v>56</v>
      </c>
      <c r="C96" s="63">
        <v>20149</v>
      </c>
    </row>
    <row r="97" spans="1:3" x14ac:dyDescent="0.3">
      <c r="A97" s="62">
        <v>2018</v>
      </c>
      <c r="B97" s="61" t="s">
        <v>57</v>
      </c>
      <c r="C97" s="63">
        <v>22204.400000000001</v>
      </c>
    </row>
    <row r="98" spans="1:3" x14ac:dyDescent="0.3">
      <c r="A98" s="62">
        <v>2018</v>
      </c>
      <c r="B98" s="61" t="s">
        <v>58</v>
      </c>
      <c r="C98" s="63">
        <v>23215.200000000001</v>
      </c>
    </row>
    <row r="99" spans="1:3" x14ac:dyDescent="0.3">
      <c r="A99" s="62">
        <v>2018</v>
      </c>
      <c r="B99" s="61" t="s">
        <v>59</v>
      </c>
      <c r="C99" s="63">
        <v>22843</v>
      </c>
    </row>
    <row r="100" spans="1:3" x14ac:dyDescent="0.3">
      <c r="A100" s="62">
        <v>2019</v>
      </c>
      <c r="B100" s="61" t="s">
        <v>56</v>
      </c>
      <c r="C100" s="63">
        <v>21329.7</v>
      </c>
    </row>
    <row r="101" spans="1:3" x14ac:dyDescent="0.3">
      <c r="A101" s="62">
        <v>2019</v>
      </c>
      <c r="B101" s="61" t="s">
        <v>57</v>
      </c>
      <c r="C101" s="63">
        <v>23187.4</v>
      </c>
    </row>
    <row r="102" spans="1:3" x14ac:dyDescent="0.3">
      <c r="A102" s="62">
        <v>2019</v>
      </c>
      <c r="B102" s="61" t="s">
        <v>58</v>
      </c>
      <c r="C102" s="63">
        <v>24037.7</v>
      </c>
    </row>
    <row r="103" spans="1:3" x14ac:dyDescent="0.3">
      <c r="A103" s="62">
        <v>2019</v>
      </c>
      <c r="B103" s="61" t="s">
        <v>59</v>
      </c>
      <c r="C103" s="63">
        <v>23775.599999999999</v>
      </c>
    </row>
    <row r="104" spans="1:3" x14ac:dyDescent="0.3">
      <c r="A104" s="62">
        <v>2020</v>
      </c>
      <c r="B104" s="61" t="s">
        <v>56</v>
      </c>
      <c r="C104" s="63">
        <v>21543.4</v>
      </c>
    </row>
    <row r="105" spans="1:3" x14ac:dyDescent="0.3">
      <c r="A105" s="62">
        <v>2020</v>
      </c>
      <c r="B105" s="61" t="s">
        <v>57</v>
      </c>
      <c r="C105" s="63">
        <v>21633.4</v>
      </c>
    </row>
    <row r="106" spans="1:3" x14ac:dyDescent="0.3">
      <c r="A106" s="62">
        <v>2020</v>
      </c>
      <c r="B106" s="61" t="s">
        <v>58</v>
      </c>
      <c r="C106" s="63">
        <v>24567.4</v>
      </c>
    </row>
    <row r="107" spans="1:3" x14ac:dyDescent="0.3">
      <c r="A107" s="62">
        <v>2020</v>
      </c>
      <c r="B107" s="61" t="s">
        <v>59</v>
      </c>
      <c r="C107" s="63">
        <v>24358.7</v>
      </c>
    </row>
    <row r="108" spans="1:3" x14ac:dyDescent="0.3">
      <c r="A108" s="62">
        <v>2021</v>
      </c>
      <c r="B108" s="61" t="s">
        <v>56</v>
      </c>
      <c r="C108" s="63">
        <v>22640.400000000001</v>
      </c>
    </row>
    <row r="109" spans="1:3" x14ac:dyDescent="0.3">
      <c r="A109" s="62">
        <v>2021</v>
      </c>
      <c r="B109" s="61" t="s">
        <v>57</v>
      </c>
      <c r="C109" s="63">
        <v>24974.3</v>
      </c>
    </row>
    <row r="110" spans="1:3" x14ac:dyDescent="0.3">
      <c r="A110" s="62">
        <v>2021</v>
      </c>
      <c r="B110" s="61" t="s">
        <v>58</v>
      </c>
      <c r="C110" s="63">
        <v>26166.3</v>
      </c>
    </row>
    <row r="111" spans="1:3" x14ac:dyDescent="0.3">
      <c r="A111" s="62">
        <v>2021</v>
      </c>
      <c r="B111" s="61" t="s">
        <v>59</v>
      </c>
      <c r="C111" s="63">
        <v>25941.3</v>
      </c>
    </row>
    <row r="112" spans="1:3" x14ac:dyDescent="0.3">
      <c r="A112" s="62">
        <v>2022</v>
      </c>
      <c r="B112" s="61" t="s">
        <v>56</v>
      </c>
      <c r="C112" s="63">
        <v>23561.4</v>
      </c>
    </row>
    <row r="113" spans="1:3" x14ac:dyDescent="0.3">
      <c r="A113" s="62">
        <v>2022</v>
      </c>
      <c r="B113" s="61" t="s">
        <v>57</v>
      </c>
      <c r="C113" s="63">
        <v>25562.1</v>
      </c>
    </row>
    <row r="114" spans="1:3" x14ac:dyDescent="0.3">
      <c r="A114" s="62">
        <v>2022</v>
      </c>
      <c r="B114" s="61" t="s">
        <v>58</v>
      </c>
      <c r="C114" s="63">
        <v>26799.200000000001</v>
      </c>
    </row>
    <row r="115" spans="1:3" x14ac:dyDescent="0.3">
      <c r="A115" s="62">
        <v>2022</v>
      </c>
      <c r="B115" s="61" t="s">
        <v>59</v>
      </c>
      <c r="C115" s="63">
        <v>26495.8</v>
      </c>
    </row>
    <row r="116" spans="1:3" x14ac:dyDescent="0.3">
      <c r="A116" s="62">
        <v>2023</v>
      </c>
      <c r="B116" s="61" t="s">
        <v>56</v>
      </c>
      <c r="C116" s="63">
        <v>25317.5</v>
      </c>
    </row>
    <row r="117" spans="1:3" x14ac:dyDescent="0.3">
      <c r="A117" s="62">
        <v>2023</v>
      </c>
      <c r="B117" s="61" t="s">
        <v>57</v>
      </c>
      <c r="C117" s="63">
        <v>27908.3</v>
      </c>
    </row>
    <row r="118" spans="1:3" x14ac:dyDescent="0.3">
      <c r="A118" s="62">
        <v>2023</v>
      </c>
      <c r="B118" s="61" t="s">
        <v>58</v>
      </c>
      <c r="C118" s="63">
        <v>29326.400000000001</v>
      </c>
    </row>
    <row r="119" spans="1:3" x14ac:dyDescent="0.3">
      <c r="A119" s="62">
        <v>2023</v>
      </c>
      <c r="B119" s="61" t="s">
        <v>59</v>
      </c>
      <c r="C119" s="63">
        <v>29053.8</v>
      </c>
    </row>
    <row r="120" spans="1:3" x14ac:dyDescent="0.3">
      <c r="A120" s="62">
        <v>2024</v>
      </c>
      <c r="B120" s="61" t="s">
        <v>56</v>
      </c>
      <c r="C120" s="63">
        <v>28806.3</v>
      </c>
    </row>
    <row r="121" spans="1:3" x14ac:dyDescent="0.3">
      <c r="A121" s="62">
        <v>2024</v>
      </c>
      <c r="B121" s="61" t="s">
        <v>57</v>
      </c>
      <c r="C121" s="63">
        <v>31341.9</v>
      </c>
    </row>
    <row r="122" spans="1:3" x14ac:dyDescent="0.3">
      <c r="A122" s="62">
        <v>2024</v>
      </c>
      <c r="B122" s="61" t="s">
        <v>58</v>
      </c>
      <c r="C122" s="63">
        <v>32685.4</v>
      </c>
    </row>
    <row r="123" spans="1:3" x14ac:dyDescent="0.3">
      <c r="A123" s="62">
        <v>2024</v>
      </c>
      <c r="B123" s="61" t="s">
        <v>59</v>
      </c>
      <c r="C123" s="63">
        <v>32575.599999999999</v>
      </c>
    </row>
  </sheetData>
  <mergeCells count="1">
    <mergeCell ref="H1:I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B3AE-EB3F-4A58-84ED-B0FDF85B57C8}">
  <dimension ref="A1:X83"/>
  <sheetViews>
    <sheetView tabSelected="1" workbookViewId="0">
      <selection activeCell="Q67" sqref="Q67"/>
    </sheetView>
  </sheetViews>
  <sheetFormatPr defaultRowHeight="14.4" x14ac:dyDescent="0.3"/>
  <cols>
    <col min="1" max="1" width="18.44140625" customWidth="1"/>
    <col min="2" max="2" width="28" customWidth="1"/>
  </cols>
  <sheetData>
    <row r="1" spans="1:24" ht="25.8" x14ac:dyDescent="0.5">
      <c r="A1" t="s">
        <v>61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 t="s">
        <v>49</v>
      </c>
      <c r="U1" s="40"/>
      <c r="V1" s="40"/>
      <c r="W1" s="40"/>
      <c r="X1" s="40"/>
    </row>
    <row r="3" spans="1:24" x14ac:dyDescent="0.3">
      <c r="A3" t="s">
        <v>62</v>
      </c>
      <c r="B3" s="36" t="s">
        <v>143</v>
      </c>
    </row>
    <row r="4" spans="1:24" x14ac:dyDescent="0.3">
      <c r="A4" t="s">
        <v>63</v>
      </c>
      <c r="B4" s="66">
        <v>2222.0875999999998</v>
      </c>
    </row>
    <row r="5" spans="1:24" x14ac:dyDescent="0.3">
      <c r="A5" t="s">
        <v>64</v>
      </c>
      <c r="B5" s="66">
        <v>2087.1201000000001</v>
      </c>
    </row>
    <row r="6" spans="1:24" x14ac:dyDescent="0.3">
      <c r="A6" t="s">
        <v>65</v>
      </c>
      <c r="B6" s="66">
        <v>2087.0147000000002</v>
      </c>
    </row>
    <row r="7" spans="1:24" x14ac:dyDescent="0.3">
      <c r="A7" t="s">
        <v>66</v>
      </c>
      <c r="B7" s="66">
        <v>2011.4425000000001</v>
      </c>
    </row>
    <row r="8" spans="1:24" x14ac:dyDescent="0.3">
      <c r="A8" t="s">
        <v>67</v>
      </c>
      <c r="B8" s="66">
        <v>2076.2923000000001</v>
      </c>
    </row>
    <row r="9" spans="1:24" x14ac:dyDescent="0.3">
      <c r="A9" t="s">
        <v>68</v>
      </c>
      <c r="B9" s="66">
        <v>2016.1288</v>
      </c>
    </row>
    <row r="10" spans="1:24" x14ac:dyDescent="0.3">
      <c r="A10" t="s">
        <v>69</v>
      </c>
      <c r="B10" s="66">
        <v>2095.9546999999998</v>
      </c>
    </row>
    <row r="11" spans="1:24" x14ac:dyDescent="0.3">
      <c r="A11" t="s">
        <v>70</v>
      </c>
      <c r="B11" s="66">
        <v>2219.6264999999999</v>
      </c>
    </row>
    <row r="12" spans="1:24" x14ac:dyDescent="0.3">
      <c r="A12" t="s">
        <v>71</v>
      </c>
      <c r="B12" s="66">
        <v>2364.2163999999998</v>
      </c>
    </row>
    <row r="13" spans="1:24" x14ac:dyDescent="0.3">
      <c r="A13" t="s">
        <v>72</v>
      </c>
      <c r="B13" s="66">
        <v>2384.9151999999999</v>
      </c>
    </row>
    <row r="14" spans="1:24" x14ac:dyDescent="0.3">
      <c r="A14" t="s">
        <v>73</v>
      </c>
      <c r="B14" s="66">
        <v>2348.2948999999999</v>
      </c>
    </row>
    <row r="15" spans="1:24" x14ac:dyDescent="0.3">
      <c r="A15" t="s">
        <v>74</v>
      </c>
      <c r="B15" s="66">
        <v>2244.1104999999998</v>
      </c>
    </row>
    <row r="16" spans="1:24" x14ac:dyDescent="0.3">
      <c r="A16" t="s">
        <v>75</v>
      </c>
      <c r="B16" s="66">
        <v>1946.4491</v>
      </c>
    </row>
    <row r="17" spans="1:2" x14ac:dyDescent="0.3">
      <c r="A17" t="s">
        <v>76</v>
      </c>
      <c r="B17" s="66">
        <v>1809.5827999999999</v>
      </c>
    </row>
    <row r="18" spans="1:2" x14ac:dyDescent="0.3">
      <c r="A18" t="s">
        <v>77</v>
      </c>
      <c r="B18" s="66">
        <v>1756.3045</v>
      </c>
    </row>
    <row r="19" spans="1:2" x14ac:dyDescent="0.3">
      <c r="A19" t="s">
        <v>78</v>
      </c>
      <c r="B19" s="66">
        <v>1680.6198999999999</v>
      </c>
    </row>
    <row r="20" spans="1:2" x14ac:dyDescent="0.3">
      <c r="A20" t="s">
        <v>79</v>
      </c>
      <c r="B20" s="66">
        <v>1434.0379</v>
      </c>
    </row>
    <row r="21" spans="1:2" x14ac:dyDescent="0.3">
      <c r="A21" t="s">
        <v>80</v>
      </c>
      <c r="B21" s="66">
        <v>1420.6151</v>
      </c>
    </row>
    <row r="22" spans="1:2" x14ac:dyDescent="0.3">
      <c r="A22" t="s">
        <v>81</v>
      </c>
      <c r="B22" s="66">
        <v>1353.5441000000001</v>
      </c>
    </row>
    <row r="23" spans="1:2" x14ac:dyDescent="0.3">
      <c r="A23" t="s">
        <v>82</v>
      </c>
      <c r="B23" s="66">
        <v>1092.3929000000001</v>
      </c>
    </row>
    <row r="24" spans="1:2" x14ac:dyDescent="0.3">
      <c r="A24" t="s">
        <v>83</v>
      </c>
      <c r="B24" s="66">
        <v>1034.9967999999999</v>
      </c>
    </row>
    <row r="25" spans="1:2" x14ac:dyDescent="0.3">
      <c r="A25" t="s">
        <v>84</v>
      </c>
      <c r="B25" s="66">
        <v>1049.9546</v>
      </c>
    </row>
    <row r="26" spans="1:2" x14ac:dyDescent="0.3">
      <c r="A26" t="s">
        <v>85</v>
      </c>
      <c r="B26" s="66">
        <v>1016.3045</v>
      </c>
    </row>
    <row r="27" spans="1:2" x14ac:dyDescent="0.3">
      <c r="A27" t="s">
        <v>86</v>
      </c>
      <c r="B27" s="66">
        <v>1035.0641000000001</v>
      </c>
    </row>
    <row r="28" spans="1:2" x14ac:dyDescent="0.3">
      <c r="A28" t="s">
        <v>87</v>
      </c>
      <c r="B28" s="66">
        <v>1045.9224999999999</v>
      </c>
    </row>
    <row r="29" spans="1:2" x14ac:dyDescent="0.3">
      <c r="A29" t="s">
        <v>88</v>
      </c>
      <c r="B29" s="66">
        <v>1088.0441000000001</v>
      </c>
    </row>
    <row r="30" spans="1:2" x14ac:dyDescent="0.3">
      <c r="A30" t="s">
        <v>89</v>
      </c>
      <c r="B30" s="66">
        <v>1078.5346</v>
      </c>
    </row>
    <row r="31" spans="1:2" x14ac:dyDescent="0.3">
      <c r="A31" t="s">
        <v>90</v>
      </c>
      <c r="B31" s="66">
        <v>1073.1881000000001</v>
      </c>
    </row>
    <row r="32" spans="1:2" x14ac:dyDescent="0.3">
      <c r="A32" t="s">
        <v>91</v>
      </c>
      <c r="B32" s="66">
        <v>1050.1002000000001</v>
      </c>
    </row>
    <row r="33" spans="1:2" x14ac:dyDescent="0.3">
      <c r="A33" t="s">
        <v>92</v>
      </c>
      <c r="B33" s="66">
        <v>1066.7167999999999</v>
      </c>
    </row>
    <row r="34" spans="1:2" x14ac:dyDescent="0.3">
      <c r="A34" t="s">
        <v>93</v>
      </c>
      <c r="B34" s="36">
        <v>990.21559999999999</v>
      </c>
    </row>
    <row r="35" spans="1:2" x14ac:dyDescent="0.3">
      <c r="A35" t="s">
        <v>94</v>
      </c>
      <c r="B35" s="36">
        <v>952.83069999999998</v>
      </c>
    </row>
    <row r="36" spans="1:2" x14ac:dyDescent="0.3">
      <c r="A36" t="s">
        <v>95</v>
      </c>
      <c r="B36" s="36">
        <v>951.23400000000004</v>
      </c>
    </row>
    <row r="37" spans="1:2" x14ac:dyDescent="0.3">
      <c r="A37" t="s">
        <v>96</v>
      </c>
      <c r="B37" s="36">
        <v>927.72130000000004</v>
      </c>
    </row>
    <row r="38" spans="1:2" x14ac:dyDescent="0.3">
      <c r="A38" t="s">
        <v>97</v>
      </c>
      <c r="B38" s="36">
        <v>922.34479999999996</v>
      </c>
    </row>
    <row r="39" spans="1:2" x14ac:dyDescent="0.3">
      <c r="A39" t="s">
        <v>98</v>
      </c>
      <c r="B39" s="36">
        <v>927.96849999999995</v>
      </c>
    </row>
    <row r="40" spans="1:2" x14ac:dyDescent="0.3">
      <c r="A40" t="s">
        <v>99</v>
      </c>
      <c r="B40" s="36">
        <v>926.92200000000003</v>
      </c>
    </row>
    <row r="41" spans="1:2" x14ac:dyDescent="0.3">
      <c r="A41" t="s">
        <v>100</v>
      </c>
      <c r="B41" s="36">
        <v>964.95699999999999</v>
      </c>
    </row>
    <row r="42" spans="1:2" x14ac:dyDescent="0.3">
      <c r="A42" t="s">
        <v>101</v>
      </c>
      <c r="B42" s="36">
        <v>951.32820000000004</v>
      </c>
    </row>
    <row r="43" spans="1:2" x14ac:dyDescent="0.3">
      <c r="A43" t="s">
        <v>102</v>
      </c>
      <c r="B43" s="36">
        <v>941.18029999999999</v>
      </c>
    </row>
    <row r="44" spans="1:2" x14ac:dyDescent="0.3">
      <c r="A44" t="s">
        <v>103</v>
      </c>
      <c r="B44" s="36">
        <v>924.83209999999997</v>
      </c>
    </row>
    <row r="45" spans="1:2" x14ac:dyDescent="0.3">
      <c r="A45" t="s">
        <v>104</v>
      </c>
      <c r="B45" s="36">
        <v>936.37609999999995</v>
      </c>
    </row>
    <row r="46" spans="1:2" x14ac:dyDescent="0.3">
      <c r="A46" t="s">
        <v>105</v>
      </c>
      <c r="B46" s="36">
        <v>923.96460000000002</v>
      </c>
    </row>
    <row r="47" spans="1:2" x14ac:dyDescent="0.3">
      <c r="A47" t="s">
        <v>106</v>
      </c>
      <c r="B47" s="36">
        <v>894.0874</v>
      </c>
    </row>
    <row r="48" spans="1:2" x14ac:dyDescent="0.3">
      <c r="A48" t="s">
        <v>107</v>
      </c>
      <c r="B48" s="36">
        <v>894.04459999999995</v>
      </c>
    </row>
    <row r="49" spans="1:2" x14ac:dyDescent="0.3">
      <c r="A49" t="s">
        <v>108</v>
      </c>
      <c r="B49" s="36">
        <v>918.47180000000003</v>
      </c>
    </row>
    <row r="50" spans="1:2" x14ac:dyDescent="0.3">
      <c r="A50" t="s">
        <v>109</v>
      </c>
      <c r="B50" s="36">
        <v>945.16010000000006</v>
      </c>
    </row>
    <row r="51" spans="1:2" x14ac:dyDescent="0.3">
      <c r="A51" t="s">
        <v>110</v>
      </c>
      <c r="B51" s="36">
        <v>955.30880000000002</v>
      </c>
    </row>
    <row r="52" spans="1:2" x14ac:dyDescent="0.3">
      <c r="A52" t="s">
        <v>111</v>
      </c>
      <c r="B52" s="36">
        <v>973.05110000000002</v>
      </c>
    </row>
    <row r="53" spans="1:2" x14ac:dyDescent="0.3">
      <c r="A53" t="s">
        <v>112</v>
      </c>
      <c r="B53" s="36">
        <v>999.05290000000002</v>
      </c>
    </row>
    <row r="54" spans="1:2" x14ac:dyDescent="0.3">
      <c r="A54" t="s">
        <v>113</v>
      </c>
      <c r="B54" s="36">
        <v>953.70659999999998</v>
      </c>
    </row>
    <row r="55" spans="1:2" x14ac:dyDescent="0.3">
      <c r="A55" t="s">
        <v>114</v>
      </c>
      <c r="B55" s="36">
        <v>959.88720000000001</v>
      </c>
    </row>
    <row r="56" spans="1:2" x14ac:dyDescent="0.3">
      <c r="A56" t="s">
        <v>115</v>
      </c>
      <c r="B56" s="36">
        <v>954.48469999999998</v>
      </c>
    </row>
    <row r="57" spans="1:2" x14ac:dyDescent="0.3">
      <c r="A57" t="s">
        <v>116</v>
      </c>
      <c r="B57" s="36">
        <v>971.65279999999996</v>
      </c>
    </row>
    <row r="58" spans="1:2" x14ac:dyDescent="0.3">
      <c r="A58" t="s">
        <v>117</v>
      </c>
      <c r="B58" s="36">
        <v>978.05889999999999</v>
      </c>
    </row>
    <row r="59" spans="1:2" x14ac:dyDescent="0.3">
      <c r="A59" t="s">
        <v>118</v>
      </c>
      <c r="B59" s="36">
        <v>995.77179999999998</v>
      </c>
    </row>
    <row r="60" spans="1:2" x14ac:dyDescent="0.3">
      <c r="A60" t="s">
        <v>119</v>
      </c>
      <c r="B60" s="36">
        <v>992.74429999999995</v>
      </c>
    </row>
    <row r="61" spans="1:2" x14ac:dyDescent="0.3">
      <c r="A61" t="s">
        <v>120</v>
      </c>
      <c r="B61" s="36">
        <v>941.66899999999998</v>
      </c>
    </row>
    <row r="62" spans="1:2" x14ac:dyDescent="0.3">
      <c r="A62" t="s">
        <v>121</v>
      </c>
      <c r="B62" s="36">
        <v>911.22389999999996</v>
      </c>
    </row>
    <row r="63" spans="1:2" x14ac:dyDescent="0.3">
      <c r="A63" t="s">
        <v>122</v>
      </c>
      <c r="B63" s="36">
        <v>919.28189999999995</v>
      </c>
    </row>
    <row r="64" spans="1:2" x14ac:dyDescent="0.3">
      <c r="A64" t="s">
        <v>123</v>
      </c>
      <c r="B64" s="36">
        <v>916.94569999999999</v>
      </c>
    </row>
    <row r="65" spans="1:2" x14ac:dyDescent="0.3">
      <c r="A65" t="s">
        <v>124</v>
      </c>
      <c r="B65" s="36">
        <v>896.74289999999996</v>
      </c>
    </row>
    <row r="66" spans="1:2" x14ac:dyDescent="0.3">
      <c r="A66" t="s">
        <v>125</v>
      </c>
      <c r="B66" s="36">
        <v>913.29160000000002</v>
      </c>
    </row>
    <row r="67" spans="1:2" x14ac:dyDescent="0.3">
      <c r="A67" t="s">
        <v>126</v>
      </c>
      <c r="B67" s="36">
        <v>959.97619999999995</v>
      </c>
    </row>
    <row r="68" spans="1:2" x14ac:dyDescent="0.3">
      <c r="A68" t="s">
        <v>127</v>
      </c>
      <c r="B68" s="66">
        <v>1107.8118999999999</v>
      </c>
    </row>
    <row r="69" spans="1:2" x14ac:dyDescent="0.3">
      <c r="A69" t="s">
        <v>128</v>
      </c>
      <c r="B69" s="66">
        <v>1159.1279</v>
      </c>
    </row>
    <row r="70" spans="1:2" x14ac:dyDescent="0.3">
      <c r="A70" t="s">
        <v>129</v>
      </c>
      <c r="B70" s="66">
        <v>1186.0740000000001</v>
      </c>
    </row>
    <row r="71" spans="1:2" x14ac:dyDescent="0.3">
      <c r="A71" t="s">
        <v>130</v>
      </c>
      <c r="B71" s="66">
        <v>1093.3690999999999</v>
      </c>
    </row>
    <row r="72" spans="1:2" x14ac:dyDescent="0.3">
      <c r="A72" t="s">
        <v>131</v>
      </c>
      <c r="B72" s="36">
        <v>978.45979999999997</v>
      </c>
    </row>
    <row r="73" spans="1:2" x14ac:dyDescent="0.3">
      <c r="A73" t="s">
        <v>132</v>
      </c>
      <c r="B73" s="36">
        <v>862.70719999999994</v>
      </c>
    </row>
    <row r="74" spans="1:2" x14ac:dyDescent="0.3">
      <c r="A74" t="s">
        <v>133</v>
      </c>
      <c r="B74" s="36">
        <v>747.72209999999995</v>
      </c>
    </row>
    <row r="75" spans="1:2" x14ac:dyDescent="0.3">
      <c r="A75" t="s">
        <v>134</v>
      </c>
      <c r="B75" s="36">
        <v>660.4393</v>
      </c>
    </row>
    <row r="76" spans="1:2" x14ac:dyDescent="0.3">
      <c r="A76" t="s">
        <v>135</v>
      </c>
      <c r="B76" s="36">
        <v>606.55359999999996</v>
      </c>
    </row>
    <row r="77" spans="1:2" x14ac:dyDescent="0.3">
      <c r="A77" t="s">
        <v>136</v>
      </c>
      <c r="B77" s="36">
        <v>599.60530000000006</v>
      </c>
    </row>
    <row r="78" spans="1:2" x14ac:dyDescent="0.3">
      <c r="A78" t="s">
        <v>137</v>
      </c>
      <c r="B78" s="36">
        <v>580.31979999999999</v>
      </c>
    </row>
    <row r="79" spans="1:2" x14ac:dyDescent="0.3">
      <c r="A79" t="s">
        <v>138</v>
      </c>
      <c r="B79" s="36">
        <v>535.60310000000004</v>
      </c>
    </row>
    <row r="80" spans="1:2" x14ac:dyDescent="0.3">
      <c r="A80" t="s">
        <v>139</v>
      </c>
      <c r="B80" s="36">
        <v>529.83119999999997</v>
      </c>
    </row>
    <row r="81" spans="1:2" x14ac:dyDescent="0.3">
      <c r="A81" t="s">
        <v>140</v>
      </c>
      <c r="B81" s="36">
        <v>540.12450000000001</v>
      </c>
    </row>
    <row r="82" spans="1:2" x14ac:dyDescent="0.3">
      <c r="A82" t="s">
        <v>141</v>
      </c>
      <c r="B82" s="36">
        <v>514.19560000000001</v>
      </c>
    </row>
    <row r="83" spans="1:2" x14ac:dyDescent="0.3">
      <c r="A83" t="s">
        <v>142</v>
      </c>
      <c r="B83" s="36">
        <v>507.57819999999998</v>
      </c>
    </row>
  </sheetData>
  <phoneticPr fontId="7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Študent</vt:lpstr>
      <vt:lpstr>kontingenčná tabuľka</vt:lpstr>
      <vt:lpstr>Demografia</vt:lpstr>
      <vt:lpstr>HDP</vt:lpstr>
      <vt:lpstr>Ceny bytov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Mirko</dc:creator>
  <cp:lastModifiedBy>Stanislav Teslenko</cp:lastModifiedBy>
  <dcterms:created xsi:type="dcterms:W3CDTF">2014-03-26T17:47:55Z</dcterms:created>
  <dcterms:modified xsi:type="dcterms:W3CDTF">2025-03-28T11:42:02Z</dcterms:modified>
</cp:coreProperties>
</file>